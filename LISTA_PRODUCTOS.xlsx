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Datos\OneDrive - Guayas Tec\Desarrollos(Programacion)\Calculadora_Banda_Modular\"/>
    </mc:Choice>
  </mc:AlternateContent>
  <xr:revisionPtr revIDLastSave="0" documentId="13_ncr:1_{D33AA208-43A4-4190-B9BD-FA3599496219}" xr6:coauthVersionLast="47" xr6:coauthVersionMax="47" xr10:uidLastSave="{00000000-0000-0000-0000-000000000000}"/>
  <bookViews>
    <workbookView xWindow="-120" yWindow="-120" windowWidth="20730" windowHeight="11040" tabRatio="694" xr2:uid="{00000000-000D-0000-FFFF-FFFF00000000}"/>
  </bookViews>
  <sheets>
    <sheet name="productos" sheetId="10" r:id="rId1"/>
    <sheet name="serie" sheetId="4" r:id="rId2"/>
    <sheet name="tipo" sheetId="5" r:id="rId3"/>
    <sheet name="material" sheetId="6" r:id="rId4"/>
    <sheet name="color" sheetId="8" r:id="rId5"/>
    <sheet name="productos (2)" sheetId="9" r:id="rId6"/>
  </sheets>
  <definedNames>
    <definedName name="COLOR">color!$A:$B</definedName>
    <definedName name="MATERIAL">material!$A:$B</definedName>
    <definedName name="SERIE">serie!$A:$F</definedName>
    <definedName name="TIPO">tipo!$A:$C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0" l="1"/>
  <c r="H28" i="10"/>
  <c r="G28" i="10"/>
  <c r="F28" i="10"/>
  <c r="I27" i="10"/>
  <c r="H27" i="10"/>
  <c r="G27" i="10"/>
  <c r="F27" i="10"/>
  <c r="I26" i="10"/>
  <c r="H26" i="10"/>
  <c r="G26" i="10"/>
  <c r="F26" i="10"/>
  <c r="I25" i="10"/>
  <c r="H25" i="10"/>
  <c r="G25" i="10"/>
  <c r="F25" i="10"/>
  <c r="F16" i="10"/>
  <c r="G16" i="10"/>
  <c r="H16" i="10"/>
  <c r="I16" i="10"/>
  <c r="F22" i="10"/>
  <c r="G22" i="10"/>
  <c r="H22" i="10"/>
  <c r="I22" i="10"/>
  <c r="F23" i="10"/>
  <c r="G23" i="10"/>
  <c r="H23" i="10"/>
  <c r="I23" i="10"/>
  <c r="F24" i="10"/>
  <c r="G24" i="10"/>
  <c r="H24" i="10"/>
  <c r="I24" i="10"/>
  <c r="F14" i="10"/>
  <c r="G14" i="10"/>
  <c r="H14" i="10"/>
  <c r="I14" i="10"/>
  <c r="F15" i="10"/>
  <c r="G15" i="10"/>
  <c r="H15" i="10"/>
  <c r="I15" i="10"/>
  <c r="I8" i="10"/>
  <c r="H8" i="10"/>
  <c r="G8" i="10"/>
  <c r="F8" i="10"/>
  <c r="I7" i="10"/>
  <c r="H7" i="10"/>
  <c r="G7" i="10"/>
  <c r="F7" i="10"/>
  <c r="I13" i="10"/>
  <c r="H13" i="10"/>
  <c r="G13" i="10"/>
  <c r="F13" i="10"/>
  <c r="I3" i="10"/>
  <c r="H3" i="10"/>
  <c r="G3" i="10"/>
  <c r="F3" i="10"/>
  <c r="F4" i="10"/>
  <c r="G4" i="10"/>
  <c r="H4" i="10"/>
  <c r="I4" i="10"/>
  <c r="F5" i="10"/>
  <c r="G5" i="10"/>
  <c r="H5" i="10"/>
  <c r="I5" i="10"/>
  <c r="F6" i="10"/>
  <c r="G6" i="10"/>
  <c r="H6" i="10"/>
  <c r="I6" i="10"/>
  <c r="F9" i="10"/>
  <c r="G9" i="10"/>
  <c r="H9" i="10"/>
  <c r="I9" i="10"/>
  <c r="F10" i="10"/>
  <c r="G10" i="10"/>
  <c r="H10" i="10"/>
  <c r="I10" i="10"/>
  <c r="F11" i="10"/>
  <c r="G11" i="10"/>
  <c r="H11" i="10"/>
  <c r="I11" i="10"/>
  <c r="F12" i="10"/>
  <c r="G12" i="10"/>
  <c r="H12" i="10"/>
  <c r="I12" i="10"/>
  <c r="F17" i="10"/>
  <c r="G17" i="10"/>
  <c r="H17" i="10"/>
  <c r="I17" i="10"/>
  <c r="F18" i="10"/>
  <c r="G18" i="10"/>
  <c r="H18" i="10"/>
  <c r="I18" i="10"/>
  <c r="F19" i="10"/>
  <c r="G19" i="10"/>
  <c r="H19" i="10"/>
  <c r="I19" i="10"/>
  <c r="F20" i="10"/>
  <c r="G20" i="10"/>
  <c r="H20" i="10"/>
  <c r="I20" i="10"/>
  <c r="F21" i="10"/>
  <c r="G21" i="10"/>
  <c r="H21" i="10"/>
  <c r="I21" i="10"/>
  <c r="G2" i="10"/>
  <c r="I2" i="10"/>
  <c r="H2" i="10"/>
  <c r="F2" i="10"/>
  <c r="D289" i="9"/>
  <c r="C289" i="9"/>
  <c r="B289" i="9"/>
  <c r="A289" i="9"/>
  <c r="D288" i="9"/>
  <c r="C288" i="9"/>
  <c r="B288" i="9"/>
  <c r="A288" i="9"/>
  <c r="D287" i="9"/>
  <c r="C287" i="9"/>
  <c r="B287" i="9"/>
  <c r="A287" i="9"/>
  <c r="D286" i="9"/>
  <c r="C286" i="9"/>
  <c r="B286" i="9"/>
  <c r="A286" i="9"/>
  <c r="D285" i="9"/>
  <c r="C285" i="9"/>
  <c r="B285" i="9"/>
  <c r="A285" i="9"/>
  <c r="D284" i="9"/>
  <c r="C284" i="9"/>
  <c r="B284" i="9"/>
  <c r="A284" i="9"/>
  <c r="D283" i="9"/>
  <c r="C283" i="9"/>
  <c r="B283" i="9"/>
  <c r="A283" i="9"/>
  <c r="D282" i="9"/>
  <c r="C282" i="9"/>
  <c r="B282" i="9"/>
  <c r="A282" i="9"/>
  <c r="D281" i="9"/>
  <c r="C281" i="9"/>
  <c r="B281" i="9"/>
  <c r="A281" i="9"/>
  <c r="D280" i="9"/>
  <c r="C280" i="9"/>
  <c r="B280" i="9"/>
  <c r="A280" i="9"/>
  <c r="D279" i="9"/>
  <c r="C279" i="9"/>
  <c r="B279" i="9"/>
  <c r="A279" i="9"/>
  <c r="D278" i="9"/>
  <c r="C278" i="9"/>
  <c r="B278" i="9"/>
  <c r="A278" i="9"/>
  <c r="D277" i="9"/>
  <c r="C277" i="9"/>
  <c r="B277" i="9"/>
  <c r="A277" i="9"/>
  <c r="D276" i="9"/>
  <c r="C276" i="9"/>
  <c r="B276" i="9"/>
  <c r="A276" i="9"/>
  <c r="D275" i="9"/>
  <c r="C275" i="9"/>
  <c r="B275" i="9"/>
  <c r="A275" i="9"/>
  <c r="D274" i="9"/>
  <c r="C274" i="9"/>
  <c r="B274" i="9"/>
  <c r="A274" i="9"/>
  <c r="D273" i="9"/>
  <c r="C273" i="9"/>
  <c r="B273" i="9"/>
  <c r="A273" i="9"/>
  <c r="D272" i="9"/>
  <c r="C272" i="9"/>
  <c r="B272" i="9"/>
  <c r="A272" i="9"/>
  <c r="D271" i="9"/>
  <c r="C271" i="9"/>
  <c r="B271" i="9"/>
  <c r="A271" i="9"/>
  <c r="D270" i="9"/>
  <c r="C270" i="9"/>
  <c r="B270" i="9"/>
  <c r="A270" i="9"/>
  <c r="D269" i="9"/>
  <c r="C269" i="9"/>
  <c r="B269" i="9"/>
  <c r="A269" i="9"/>
  <c r="D268" i="9"/>
  <c r="C268" i="9"/>
  <c r="B268" i="9"/>
  <c r="A268" i="9"/>
  <c r="D267" i="9"/>
  <c r="C267" i="9"/>
  <c r="B267" i="9"/>
  <c r="A267" i="9"/>
  <c r="D266" i="9"/>
  <c r="C266" i="9"/>
  <c r="B266" i="9"/>
  <c r="A266" i="9"/>
  <c r="D265" i="9"/>
  <c r="C265" i="9"/>
  <c r="B265" i="9"/>
  <c r="A265" i="9"/>
  <c r="D264" i="9"/>
  <c r="C264" i="9"/>
  <c r="B264" i="9"/>
  <c r="A264" i="9"/>
  <c r="D263" i="9"/>
  <c r="C263" i="9"/>
  <c r="B263" i="9"/>
  <c r="A263" i="9"/>
  <c r="D262" i="9"/>
  <c r="C262" i="9"/>
  <c r="B262" i="9"/>
  <c r="A262" i="9"/>
  <c r="D261" i="9"/>
  <c r="C261" i="9"/>
  <c r="B261" i="9"/>
  <c r="A261" i="9"/>
  <c r="D260" i="9"/>
  <c r="C260" i="9"/>
  <c r="B260" i="9"/>
  <c r="A260" i="9"/>
  <c r="D259" i="9"/>
  <c r="C259" i="9"/>
  <c r="B259" i="9"/>
  <c r="A259" i="9"/>
  <c r="D258" i="9"/>
  <c r="C258" i="9"/>
  <c r="B258" i="9"/>
  <c r="A258" i="9"/>
  <c r="D257" i="9"/>
  <c r="C257" i="9"/>
  <c r="B257" i="9"/>
  <c r="A257" i="9"/>
  <c r="D256" i="9"/>
  <c r="C256" i="9"/>
  <c r="B256" i="9"/>
  <c r="A256" i="9"/>
  <c r="D255" i="9"/>
  <c r="C255" i="9"/>
  <c r="B255" i="9"/>
  <c r="A255" i="9"/>
  <c r="D254" i="9"/>
  <c r="C254" i="9"/>
  <c r="B254" i="9"/>
  <c r="A254" i="9"/>
  <c r="D253" i="9"/>
  <c r="C253" i="9"/>
  <c r="B253" i="9"/>
  <c r="A253" i="9"/>
  <c r="D252" i="9"/>
  <c r="C252" i="9"/>
  <c r="B252" i="9"/>
  <c r="A252" i="9"/>
  <c r="D251" i="9"/>
  <c r="C251" i="9"/>
  <c r="B251" i="9"/>
  <c r="A251" i="9"/>
  <c r="D250" i="9"/>
  <c r="C250" i="9"/>
  <c r="B250" i="9"/>
  <c r="A250" i="9"/>
  <c r="D249" i="9"/>
  <c r="C249" i="9"/>
  <c r="B249" i="9"/>
  <c r="A249" i="9"/>
  <c r="D248" i="9"/>
  <c r="C248" i="9"/>
  <c r="B248" i="9"/>
  <c r="A248" i="9"/>
  <c r="D247" i="9"/>
  <c r="C247" i="9"/>
  <c r="B247" i="9"/>
  <c r="A247" i="9"/>
  <c r="D246" i="9"/>
  <c r="C246" i="9"/>
  <c r="B246" i="9"/>
  <c r="A246" i="9"/>
  <c r="D245" i="9"/>
  <c r="C245" i="9"/>
  <c r="B245" i="9"/>
  <c r="A245" i="9"/>
  <c r="D244" i="9"/>
  <c r="C244" i="9"/>
  <c r="B244" i="9"/>
  <c r="A244" i="9"/>
  <c r="D243" i="9"/>
  <c r="C243" i="9"/>
  <c r="B243" i="9"/>
  <c r="A243" i="9"/>
  <c r="D242" i="9"/>
  <c r="C242" i="9"/>
  <c r="B242" i="9"/>
  <c r="A242" i="9"/>
  <c r="D241" i="9"/>
  <c r="C241" i="9"/>
  <c r="B241" i="9"/>
  <c r="A241" i="9"/>
  <c r="D240" i="9"/>
  <c r="C240" i="9"/>
  <c r="B240" i="9"/>
  <c r="A240" i="9"/>
  <c r="D239" i="9"/>
  <c r="C239" i="9"/>
  <c r="B239" i="9"/>
  <c r="A239" i="9"/>
  <c r="D238" i="9"/>
  <c r="C238" i="9"/>
  <c r="B238" i="9"/>
  <c r="A238" i="9"/>
  <c r="D237" i="9"/>
  <c r="C237" i="9"/>
  <c r="B237" i="9"/>
  <c r="A237" i="9"/>
  <c r="D236" i="9"/>
  <c r="C236" i="9"/>
  <c r="B236" i="9"/>
  <c r="A236" i="9"/>
  <c r="D235" i="9"/>
  <c r="C235" i="9"/>
  <c r="B235" i="9"/>
  <c r="A235" i="9"/>
  <c r="D234" i="9"/>
  <c r="C234" i="9"/>
  <c r="B234" i="9"/>
  <c r="A234" i="9"/>
  <c r="D233" i="9"/>
  <c r="C233" i="9"/>
  <c r="B233" i="9"/>
  <c r="A233" i="9"/>
  <c r="D232" i="9"/>
  <c r="C232" i="9"/>
  <c r="B232" i="9"/>
  <c r="A232" i="9"/>
  <c r="D231" i="9"/>
  <c r="C231" i="9"/>
  <c r="B231" i="9"/>
  <c r="A231" i="9"/>
  <c r="D230" i="9"/>
  <c r="C230" i="9"/>
  <c r="B230" i="9"/>
  <c r="A230" i="9"/>
  <c r="D229" i="9"/>
  <c r="C229" i="9"/>
  <c r="B229" i="9"/>
  <c r="A229" i="9"/>
  <c r="D228" i="9"/>
  <c r="C228" i="9"/>
  <c r="B228" i="9"/>
  <c r="A228" i="9"/>
  <c r="D227" i="9"/>
  <c r="C227" i="9"/>
  <c r="B227" i="9"/>
  <c r="A227" i="9"/>
  <c r="D226" i="9"/>
  <c r="C226" i="9"/>
  <c r="B226" i="9"/>
  <c r="A226" i="9"/>
  <c r="D225" i="9"/>
  <c r="C225" i="9"/>
  <c r="B225" i="9"/>
  <c r="A225" i="9"/>
  <c r="D224" i="9"/>
  <c r="C224" i="9"/>
  <c r="B224" i="9"/>
  <c r="A224" i="9"/>
  <c r="D223" i="9"/>
  <c r="C223" i="9"/>
  <c r="B223" i="9"/>
  <c r="A223" i="9"/>
  <c r="D222" i="9"/>
  <c r="C222" i="9"/>
  <c r="B222" i="9"/>
  <c r="A222" i="9"/>
  <c r="D221" i="9"/>
  <c r="C221" i="9"/>
  <c r="B221" i="9"/>
  <c r="A221" i="9"/>
  <c r="D220" i="9"/>
  <c r="C220" i="9"/>
  <c r="B220" i="9"/>
  <c r="A220" i="9"/>
  <c r="D219" i="9"/>
  <c r="C219" i="9"/>
  <c r="B219" i="9"/>
  <c r="A219" i="9"/>
  <c r="D218" i="9"/>
  <c r="C218" i="9"/>
  <c r="B218" i="9"/>
  <c r="A218" i="9"/>
  <c r="D217" i="9"/>
  <c r="C217" i="9"/>
  <c r="B217" i="9"/>
  <c r="A217" i="9"/>
  <c r="D216" i="9"/>
  <c r="C216" i="9"/>
  <c r="B216" i="9"/>
  <c r="A216" i="9"/>
  <c r="D215" i="9"/>
  <c r="C215" i="9"/>
  <c r="B215" i="9"/>
  <c r="A215" i="9"/>
  <c r="D214" i="9"/>
  <c r="C214" i="9"/>
  <c r="B214" i="9"/>
  <c r="A214" i="9"/>
  <c r="D213" i="9"/>
  <c r="C213" i="9"/>
  <c r="B213" i="9"/>
  <c r="A213" i="9"/>
  <c r="D212" i="9"/>
  <c r="C212" i="9"/>
  <c r="B212" i="9"/>
  <c r="A212" i="9"/>
  <c r="D211" i="9"/>
  <c r="C211" i="9"/>
  <c r="B211" i="9"/>
  <c r="A211" i="9"/>
  <c r="D210" i="9"/>
  <c r="C210" i="9"/>
  <c r="B210" i="9"/>
  <c r="A210" i="9"/>
  <c r="D209" i="9"/>
  <c r="C209" i="9"/>
  <c r="B209" i="9"/>
  <c r="A209" i="9"/>
  <c r="D208" i="9"/>
  <c r="C208" i="9"/>
  <c r="B208" i="9"/>
  <c r="A208" i="9"/>
  <c r="D207" i="9"/>
  <c r="C207" i="9"/>
  <c r="B207" i="9"/>
  <c r="A207" i="9"/>
  <c r="D206" i="9"/>
  <c r="C206" i="9"/>
  <c r="B206" i="9"/>
  <c r="A206" i="9"/>
  <c r="D205" i="9"/>
  <c r="C205" i="9"/>
  <c r="B205" i="9"/>
  <c r="A205" i="9"/>
  <c r="D204" i="9"/>
  <c r="C204" i="9"/>
  <c r="B204" i="9"/>
  <c r="A204" i="9"/>
  <c r="D203" i="9"/>
  <c r="C203" i="9"/>
  <c r="B203" i="9"/>
  <c r="A203" i="9"/>
  <c r="D202" i="9"/>
  <c r="C202" i="9"/>
  <c r="B202" i="9"/>
  <c r="A202" i="9"/>
  <c r="D201" i="9"/>
  <c r="C201" i="9"/>
  <c r="B201" i="9"/>
  <c r="A201" i="9"/>
  <c r="D200" i="9"/>
  <c r="C200" i="9"/>
  <c r="B200" i="9"/>
  <c r="A200" i="9"/>
  <c r="D199" i="9"/>
  <c r="C199" i="9"/>
  <c r="B199" i="9"/>
  <c r="A199" i="9"/>
  <c r="D198" i="9"/>
  <c r="C198" i="9"/>
  <c r="B198" i="9"/>
  <c r="A198" i="9"/>
  <c r="D197" i="9"/>
  <c r="C197" i="9"/>
  <c r="B197" i="9"/>
  <c r="A197" i="9"/>
  <c r="D196" i="9"/>
  <c r="C196" i="9"/>
  <c r="B196" i="9"/>
  <c r="A196" i="9"/>
  <c r="D195" i="9"/>
  <c r="C195" i="9"/>
  <c r="B195" i="9"/>
  <c r="A195" i="9"/>
  <c r="D194" i="9"/>
  <c r="C194" i="9"/>
  <c r="B194" i="9"/>
  <c r="A194" i="9"/>
  <c r="D193" i="9"/>
  <c r="C193" i="9"/>
  <c r="B193" i="9"/>
  <c r="A193" i="9"/>
  <c r="D192" i="9"/>
  <c r="C192" i="9"/>
  <c r="B192" i="9"/>
  <c r="A192" i="9"/>
  <c r="D191" i="9"/>
  <c r="C191" i="9"/>
  <c r="B191" i="9"/>
  <c r="A191" i="9"/>
  <c r="D190" i="9"/>
  <c r="C190" i="9"/>
  <c r="B190" i="9"/>
  <c r="A190" i="9"/>
  <c r="D189" i="9"/>
  <c r="C189" i="9"/>
  <c r="B189" i="9"/>
  <c r="A189" i="9"/>
  <c r="D188" i="9"/>
  <c r="C188" i="9"/>
  <c r="B188" i="9"/>
  <c r="A188" i="9"/>
  <c r="D187" i="9"/>
  <c r="C187" i="9"/>
  <c r="B187" i="9"/>
  <c r="A187" i="9"/>
  <c r="D186" i="9"/>
  <c r="C186" i="9"/>
  <c r="B186" i="9"/>
  <c r="A186" i="9"/>
  <c r="D185" i="9"/>
  <c r="C185" i="9"/>
  <c r="B185" i="9"/>
  <c r="A185" i="9"/>
  <c r="D184" i="9"/>
  <c r="C184" i="9"/>
  <c r="B184" i="9"/>
  <c r="A184" i="9"/>
  <c r="D183" i="9"/>
  <c r="C183" i="9"/>
  <c r="B183" i="9"/>
  <c r="A183" i="9"/>
  <c r="D182" i="9"/>
  <c r="C182" i="9"/>
  <c r="B182" i="9"/>
  <c r="A182" i="9"/>
  <c r="D181" i="9"/>
  <c r="C181" i="9"/>
  <c r="B181" i="9"/>
  <c r="A181" i="9"/>
  <c r="D180" i="9"/>
  <c r="C180" i="9"/>
  <c r="B180" i="9"/>
  <c r="A180" i="9"/>
  <c r="D179" i="9"/>
  <c r="C179" i="9"/>
  <c r="B179" i="9"/>
  <c r="A179" i="9"/>
  <c r="D178" i="9"/>
  <c r="C178" i="9"/>
  <c r="B178" i="9"/>
  <c r="A178" i="9"/>
  <c r="D177" i="9"/>
  <c r="C177" i="9"/>
  <c r="B177" i="9"/>
  <c r="A177" i="9"/>
  <c r="D176" i="9"/>
  <c r="C176" i="9"/>
  <c r="B176" i="9"/>
  <c r="A176" i="9"/>
  <c r="D175" i="9"/>
  <c r="C175" i="9"/>
  <c r="B175" i="9"/>
  <c r="A175" i="9"/>
  <c r="D174" i="9"/>
  <c r="C174" i="9"/>
  <c r="B174" i="9"/>
  <c r="A174" i="9"/>
  <c r="D173" i="9"/>
  <c r="C173" i="9"/>
  <c r="B173" i="9"/>
  <c r="A173" i="9"/>
  <c r="D172" i="9"/>
  <c r="C172" i="9"/>
  <c r="B172" i="9"/>
  <c r="A172" i="9"/>
  <c r="D171" i="9"/>
  <c r="C171" i="9"/>
  <c r="B171" i="9"/>
  <c r="A171" i="9"/>
  <c r="D170" i="9"/>
  <c r="C170" i="9"/>
  <c r="B170" i="9"/>
  <c r="A170" i="9"/>
  <c r="D169" i="9"/>
  <c r="C169" i="9"/>
  <c r="B169" i="9"/>
  <c r="A169" i="9"/>
  <c r="D168" i="9"/>
  <c r="C168" i="9"/>
  <c r="B168" i="9"/>
  <c r="A168" i="9"/>
  <c r="D167" i="9"/>
  <c r="C167" i="9"/>
  <c r="B167" i="9"/>
  <c r="A167" i="9"/>
  <c r="D166" i="9"/>
  <c r="C166" i="9"/>
  <c r="B166" i="9"/>
  <c r="A166" i="9"/>
  <c r="D165" i="9"/>
  <c r="C165" i="9"/>
  <c r="B165" i="9"/>
  <c r="A165" i="9"/>
  <c r="D164" i="9"/>
  <c r="C164" i="9"/>
  <c r="B164" i="9"/>
  <c r="A164" i="9"/>
  <c r="D163" i="9"/>
  <c r="C163" i="9"/>
  <c r="B163" i="9"/>
  <c r="A163" i="9"/>
  <c r="D162" i="9"/>
  <c r="C162" i="9"/>
  <c r="B162" i="9"/>
  <c r="A162" i="9"/>
  <c r="D161" i="9"/>
  <c r="C161" i="9"/>
  <c r="B161" i="9"/>
  <c r="A161" i="9"/>
  <c r="D160" i="9"/>
  <c r="C160" i="9"/>
  <c r="B160" i="9"/>
  <c r="A160" i="9"/>
  <c r="D159" i="9"/>
  <c r="C159" i="9"/>
  <c r="B159" i="9"/>
  <c r="A159" i="9"/>
  <c r="D158" i="9"/>
  <c r="C158" i="9"/>
  <c r="B158" i="9"/>
  <c r="A158" i="9"/>
  <c r="D157" i="9"/>
  <c r="C157" i="9"/>
  <c r="B157" i="9"/>
  <c r="A157" i="9"/>
  <c r="D156" i="9"/>
  <c r="C156" i="9"/>
  <c r="B156" i="9"/>
  <c r="A156" i="9"/>
  <c r="D155" i="9"/>
  <c r="C155" i="9"/>
  <c r="B155" i="9"/>
  <c r="A155" i="9"/>
  <c r="D154" i="9"/>
  <c r="C154" i="9"/>
  <c r="B154" i="9"/>
  <c r="A154" i="9"/>
  <c r="D153" i="9"/>
  <c r="C153" i="9"/>
  <c r="B153" i="9"/>
  <c r="A153" i="9"/>
  <c r="D152" i="9"/>
  <c r="C152" i="9"/>
  <c r="B152" i="9"/>
  <c r="A152" i="9"/>
  <c r="D151" i="9"/>
  <c r="C151" i="9"/>
  <c r="B151" i="9"/>
  <c r="A151" i="9"/>
  <c r="D150" i="9"/>
  <c r="C150" i="9"/>
  <c r="B150" i="9"/>
  <c r="A150" i="9"/>
  <c r="D149" i="9"/>
  <c r="C149" i="9"/>
  <c r="B149" i="9"/>
  <c r="A149" i="9"/>
  <c r="D148" i="9"/>
  <c r="C148" i="9"/>
  <c r="B148" i="9"/>
  <c r="A148" i="9"/>
  <c r="D147" i="9"/>
  <c r="C147" i="9"/>
  <c r="B147" i="9"/>
  <c r="A147" i="9"/>
  <c r="D146" i="9"/>
  <c r="C146" i="9"/>
  <c r="B146" i="9"/>
  <c r="A146" i="9"/>
  <c r="D145" i="9"/>
  <c r="C145" i="9"/>
  <c r="B145" i="9"/>
  <c r="A145" i="9"/>
  <c r="D144" i="9"/>
  <c r="C144" i="9"/>
  <c r="B144" i="9"/>
  <c r="A144" i="9"/>
  <c r="D143" i="9"/>
  <c r="C143" i="9"/>
  <c r="B143" i="9"/>
  <c r="A143" i="9"/>
  <c r="D142" i="9"/>
  <c r="C142" i="9"/>
  <c r="B142" i="9"/>
  <c r="A142" i="9"/>
  <c r="D141" i="9"/>
  <c r="C141" i="9"/>
  <c r="B141" i="9"/>
  <c r="A141" i="9"/>
  <c r="D140" i="9"/>
  <c r="C140" i="9"/>
  <c r="B140" i="9"/>
  <c r="A140" i="9"/>
  <c r="D139" i="9"/>
  <c r="C139" i="9"/>
  <c r="B139" i="9"/>
  <c r="A139" i="9"/>
  <c r="D138" i="9"/>
  <c r="C138" i="9"/>
  <c r="B138" i="9"/>
  <c r="A138" i="9"/>
  <c r="D137" i="9"/>
  <c r="C137" i="9"/>
  <c r="B137" i="9"/>
  <c r="A137" i="9"/>
  <c r="D136" i="9"/>
  <c r="C136" i="9"/>
  <c r="B136" i="9"/>
  <c r="A136" i="9"/>
  <c r="D135" i="9"/>
  <c r="C135" i="9"/>
  <c r="B135" i="9"/>
  <c r="A135" i="9"/>
  <c r="D134" i="9"/>
  <c r="C134" i="9"/>
  <c r="B134" i="9"/>
  <c r="A134" i="9"/>
  <c r="D133" i="9"/>
  <c r="C133" i="9"/>
  <c r="B133" i="9"/>
  <c r="A133" i="9"/>
  <c r="D132" i="9"/>
  <c r="C132" i="9"/>
  <c r="B132" i="9"/>
  <c r="A132" i="9"/>
  <c r="D131" i="9"/>
  <c r="C131" i="9"/>
  <c r="B131" i="9"/>
  <c r="A131" i="9"/>
  <c r="D130" i="9"/>
  <c r="C130" i="9"/>
  <c r="B130" i="9"/>
  <c r="A130" i="9"/>
  <c r="D129" i="9"/>
  <c r="C129" i="9"/>
  <c r="B129" i="9"/>
  <c r="A129" i="9"/>
  <c r="D128" i="9"/>
  <c r="C128" i="9"/>
  <c r="B128" i="9"/>
  <c r="A128" i="9"/>
  <c r="D127" i="9"/>
  <c r="C127" i="9"/>
  <c r="B127" i="9"/>
  <c r="A127" i="9"/>
  <c r="D126" i="9"/>
  <c r="C126" i="9"/>
  <c r="B126" i="9"/>
  <c r="A126" i="9"/>
  <c r="D125" i="9"/>
  <c r="C125" i="9"/>
  <c r="B125" i="9"/>
  <c r="A125" i="9"/>
  <c r="D124" i="9"/>
  <c r="C124" i="9"/>
  <c r="B124" i="9"/>
  <c r="A124" i="9"/>
  <c r="D123" i="9"/>
  <c r="C123" i="9"/>
  <c r="B123" i="9"/>
  <c r="A123" i="9"/>
  <c r="D122" i="9"/>
  <c r="C122" i="9"/>
  <c r="B122" i="9"/>
  <c r="A122" i="9"/>
  <c r="D121" i="9"/>
  <c r="C121" i="9"/>
  <c r="B121" i="9"/>
  <c r="A121" i="9"/>
  <c r="D120" i="9"/>
  <c r="C120" i="9"/>
  <c r="B120" i="9"/>
  <c r="A120" i="9"/>
  <c r="D119" i="9"/>
  <c r="C119" i="9"/>
  <c r="B119" i="9"/>
  <c r="A119" i="9"/>
  <c r="D118" i="9"/>
  <c r="C118" i="9"/>
  <c r="B118" i="9"/>
  <c r="A118" i="9"/>
  <c r="D117" i="9"/>
  <c r="C117" i="9"/>
  <c r="B117" i="9"/>
  <c r="A117" i="9"/>
  <c r="D116" i="9"/>
  <c r="C116" i="9"/>
  <c r="B116" i="9"/>
  <c r="A116" i="9"/>
  <c r="D115" i="9"/>
  <c r="C115" i="9"/>
  <c r="B115" i="9"/>
  <c r="A115" i="9"/>
  <c r="D114" i="9"/>
  <c r="C114" i="9"/>
  <c r="B114" i="9"/>
  <c r="A114" i="9"/>
  <c r="D113" i="9"/>
  <c r="C113" i="9"/>
  <c r="B113" i="9"/>
  <c r="A113" i="9"/>
  <c r="D112" i="9"/>
  <c r="C112" i="9"/>
  <c r="B112" i="9"/>
  <c r="A112" i="9"/>
  <c r="D111" i="9"/>
  <c r="C111" i="9"/>
  <c r="B111" i="9"/>
  <c r="A111" i="9"/>
  <c r="D110" i="9"/>
  <c r="C110" i="9"/>
  <c r="B110" i="9"/>
  <c r="A110" i="9"/>
  <c r="D109" i="9"/>
  <c r="C109" i="9"/>
  <c r="B109" i="9"/>
  <c r="A109" i="9"/>
  <c r="D108" i="9"/>
  <c r="C108" i="9"/>
  <c r="B108" i="9"/>
  <c r="A108" i="9"/>
  <c r="D107" i="9"/>
  <c r="C107" i="9"/>
  <c r="B107" i="9"/>
  <c r="A107" i="9"/>
  <c r="D106" i="9"/>
  <c r="C106" i="9"/>
  <c r="B106" i="9"/>
  <c r="A106" i="9"/>
  <c r="D105" i="9"/>
  <c r="C105" i="9"/>
  <c r="B105" i="9"/>
  <c r="A105" i="9"/>
  <c r="D104" i="9"/>
  <c r="C104" i="9"/>
  <c r="B104" i="9"/>
  <c r="A104" i="9"/>
  <c r="D103" i="9"/>
  <c r="C103" i="9"/>
  <c r="B103" i="9"/>
  <c r="A103" i="9"/>
  <c r="D102" i="9"/>
  <c r="C102" i="9"/>
  <c r="B102" i="9"/>
  <c r="A102" i="9"/>
  <c r="D101" i="9"/>
  <c r="C101" i="9"/>
  <c r="B101" i="9"/>
  <c r="A101" i="9"/>
  <c r="D100" i="9"/>
  <c r="C100" i="9"/>
  <c r="B100" i="9"/>
  <c r="A100" i="9"/>
  <c r="D99" i="9"/>
  <c r="C99" i="9"/>
  <c r="B99" i="9"/>
  <c r="A99" i="9"/>
  <c r="D98" i="9"/>
  <c r="C98" i="9"/>
  <c r="B98" i="9"/>
  <c r="A98" i="9"/>
  <c r="D97" i="9"/>
  <c r="C97" i="9"/>
  <c r="B97" i="9"/>
  <c r="A97" i="9"/>
  <c r="D96" i="9"/>
  <c r="C96" i="9"/>
  <c r="B96" i="9"/>
  <c r="A96" i="9"/>
  <c r="D95" i="9"/>
  <c r="C95" i="9"/>
  <c r="B95" i="9"/>
  <c r="A95" i="9"/>
  <c r="D94" i="9"/>
  <c r="C94" i="9"/>
  <c r="B94" i="9"/>
  <c r="A94" i="9"/>
  <c r="D93" i="9"/>
  <c r="C93" i="9"/>
  <c r="B93" i="9"/>
  <c r="A93" i="9"/>
  <c r="D92" i="9"/>
  <c r="C92" i="9"/>
  <c r="B92" i="9"/>
  <c r="A92" i="9"/>
  <c r="D91" i="9"/>
  <c r="C91" i="9"/>
  <c r="B91" i="9"/>
  <c r="A91" i="9"/>
  <c r="D90" i="9"/>
  <c r="C90" i="9"/>
  <c r="B90" i="9"/>
  <c r="A90" i="9"/>
  <c r="D89" i="9"/>
  <c r="C89" i="9"/>
  <c r="B89" i="9"/>
  <c r="A89" i="9"/>
  <c r="D88" i="9"/>
  <c r="C88" i="9"/>
  <c r="B88" i="9"/>
  <c r="A88" i="9"/>
  <c r="D87" i="9"/>
  <c r="C87" i="9"/>
  <c r="B87" i="9"/>
  <c r="A87" i="9"/>
  <c r="D86" i="9"/>
  <c r="C86" i="9"/>
  <c r="B86" i="9"/>
  <c r="A86" i="9"/>
  <c r="D85" i="9"/>
  <c r="C85" i="9"/>
  <c r="B85" i="9"/>
  <c r="A85" i="9"/>
  <c r="D84" i="9"/>
  <c r="C84" i="9"/>
  <c r="B84" i="9"/>
  <c r="A84" i="9"/>
  <c r="D83" i="9"/>
  <c r="C83" i="9"/>
  <c r="B83" i="9"/>
  <c r="A83" i="9"/>
  <c r="D82" i="9"/>
  <c r="C82" i="9"/>
  <c r="B82" i="9"/>
  <c r="A82" i="9"/>
  <c r="D81" i="9"/>
  <c r="C81" i="9"/>
  <c r="B81" i="9"/>
  <c r="A81" i="9"/>
  <c r="D80" i="9"/>
  <c r="C80" i="9"/>
  <c r="B80" i="9"/>
  <c r="A80" i="9"/>
  <c r="D79" i="9"/>
  <c r="C79" i="9"/>
  <c r="B79" i="9"/>
  <c r="A79" i="9"/>
  <c r="D78" i="9"/>
  <c r="C78" i="9"/>
  <c r="B78" i="9"/>
  <c r="A78" i="9"/>
  <c r="D77" i="9"/>
  <c r="C77" i="9"/>
  <c r="B77" i="9"/>
  <c r="A77" i="9"/>
  <c r="D76" i="9"/>
  <c r="C76" i="9"/>
  <c r="B76" i="9"/>
  <c r="A76" i="9"/>
  <c r="D75" i="9"/>
  <c r="C75" i="9"/>
  <c r="B75" i="9"/>
  <c r="A75" i="9"/>
  <c r="D74" i="9"/>
  <c r="C74" i="9"/>
  <c r="B74" i="9"/>
  <c r="A74" i="9"/>
  <c r="D73" i="9"/>
  <c r="C73" i="9"/>
  <c r="B73" i="9"/>
  <c r="A73" i="9"/>
  <c r="D72" i="9"/>
  <c r="C72" i="9"/>
  <c r="B72" i="9"/>
  <c r="A72" i="9"/>
  <c r="D71" i="9"/>
  <c r="C71" i="9"/>
  <c r="B71" i="9"/>
  <c r="A71" i="9"/>
  <c r="D70" i="9"/>
  <c r="C70" i="9"/>
  <c r="B70" i="9"/>
  <c r="A70" i="9"/>
  <c r="D69" i="9"/>
  <c r="C69" i="9"/>
  <c r="B69" i="9"/>
  <c r="A69" i="9"/>
  <c r="D68" i="9"/>
  <c r="C68" i="9"/>
  <c r="B68" i="9"/>
  <c r="A68" i="9"/>
  <c r="D67" i="9"/>
  <c r="C67" i="9"/>
  <c r="B67" i="9"/>
  <c r="A67" i="9"/>
  <c r="D66" i="9"/>
  <c r="C66" i="9"/>
  <c r="B66" i="9"/>
  <c r="A66" i="9"/>
  <c r="D65" i="9"/>
  <c r="C65" i="9"/>
  <c r="B65" i="9"/>
  <c r="A65" i="9"/>
  <c r="D64" i="9"/>
  <c r="C64" i="9"/>
  <c r="B64" i="9"/>
  <c r="A64" i="9"/>
  <c r="D63" i="9"/>
  <c r="C63" i="9"/>
  <c r="B63" i="9"/>
  <c r="A63" i="9"/>
  <c r="D62" i="9"/>
  <c r="C62" i="9"/>
  <c r="B62" i="9"/>
  <c r="A62" i="9"/>
  <c r="D61" i="9"/>
  <c r="C61" i="9"/>
  <c r="B61" i="9"/>
  <c r="A61" i="9"/>
  <c r="D60" i="9"/>
  <c r="C60" i="9"/>
  <c r="B60" i="9"/>
  <c r="A60" i="9"/>
  <c r="D59" i="9"/>
  <c r="C59" i="9"/>
  <c r="B59" i="9"/>
  <c r="A59" i="9"/>
  <c r="D58" i="9"/>
  <c r="C58" i="9"/>
  <c r="B58" i="9"/>
  <c r="A58" i="9"/>
  <c r="D57" i="9"/>
  <c r="C57" i="9"/>
  <c r="B57" i="9"/>
  <c r="A57" i="9"/>
  <c r="D56" i="9"/>
  <c r="C56" i="9"/>
  <c r="B56" i="9"/>
  <c r="A56" i="9"/>
  <c r="D55" i="9"/>
  <c r="C55" i="9"/>
  <c r="B55" i="9"/>
  <c r="A55" i="9"/>
  <c r="D54" i="9"/>
  <c r="C54" i="9"/>
  <c r="B54" i="9"/>
  <c r="A54" i="9"/>
  <c r="D53" i="9"/>
  <c r="C53" i="9"/>
  <c r="B53" i="9"/>
  <c r="A53" i="9"/>
  <c r="D52" i="9"/>
  <c r="C52" i="9"/>
  <c r="B52" i="9"/>
  <c r="A52" i="9"/>
  <c r="D51" i="9"/>
  <c r="C51" i="9"/>
  <c r="B51" i="9"/>
  <c r="A51" i="9"/>
  <c r="D50" i="9"/>
  <c r="C50" i="9"/>
  <c r="B50" i="9"/>
  <c r="A50" i="9"/>
  <c r="D49" i="9"/>
  <c r="C49" i="9"/>
  <c r="B49" i="9"/>
  <c r="A49" i="9"/>
  <c r="D48" i="9"/>
  <c r="C48" i="9"/>
  <c r="B48" i="9"/>
  <c r="A48" i="9"/>
  <c r="D47" i="9"/>
  <c r="C47" i="9"/>
  <c r="B47" i="9"/>
  <c r="A47" i="9"/>
  <c r="D46" i="9"/>
  <c r="C46" i="9"/>
  <c r="B46" i="9"/>
  <c r="A46" i="9"/>
  <c r="D45" i="9"/>
  <c r="C45" i="9"/>
  <c r="B45" i="9"/>
  <c r="A45" i="9"/>
  <c r="D44" i="9"/>
  <c r="C44" i="9"/>
  <c r="B44" i="9"/>
  <c r="A44" i="9"/>
  <c r="D43" i="9"/>
  <c r="C43" i="9"/>
  <c r="B43" i="9"/>
  <c r="A43" i="9"/>
  <c r="D42" i="9"/>
  <c r="C42" i="9"/>
  <c r="B42" i="9"/>
  <c r="A42" i="9"/>
  <c r="D41" i="9"/>
  <c r="C41" i="9"/>
  <c r="B41" i="9"/>
  <c r="A41" i="9"/>
  <c r="D40" i="9"/>
  <c r="C40" i="9"/>
  <c r="B40" i="9"/>
  <c r="A40" i="9"/>
  <c r="D39" i="9"/>
  <c r="C39" i="9"/>
  <c r="B39" i="9"/>
  <c r="A39" i="9"/>
  <c r="D38" i="9"/>
  <c r="C38" i="9"/>
  <c r="B38" i="9"/>
  <c r="A38" i="9"/>
  <c r="D37" i="9"/>
  <c r="C37" i="9"/>
  <c r="B37" i="9"/>
  <c r="A37" i="9"/>
  <c r="D36" i="9"/>
  <c r="C36" i="9"/>
  <c r="B36" i="9"/>
  <c r="A36" i="9"/>
  <c r="D35" i="9"/>
  <c r="C35" i="9"/>
  <c r="B35" i="9"/>
  <c r="A35" i="9"/>
  <c r="D34" i="9"/>
  <c r="C34" i="9"/>
  <c r="B34" i="9"/>
  <c r="A34" i="9"/>
  <c r="D33" i="9"/>
  <c r="C33" i="9"/>
  <c r="B33" i="9"/>
  <c r="A33" i="9"/>
  <c r="D32" i="9"/>
  <c r="C32" i="9"/>
  <c r="B32" i="9"/>
  <c r="A32" i="9"/>
  <c r="D31" i="9"/>
  <c r="C31" i="9"/>
  <c r="B31" i="9"/>
  <c r="A31" i="9"/>
  <c r="D30" i="9"/>
  <c r="C30" i="9"/>
  <c r="B30" i="9"/>
  <c r="A30" i="9"/>
  <c r="D29" i="9"/>
  <c r="C29" i="9"/>
  <c r="B29" i="9"/>
  <c r="A29" i="9"/>
  <c r="D28" i="9"/>
  <c r="C28" i="9"/>
  <c r="B28" i="9"/>
  <c r="A28" i="9"/>
  <c r="A27" i="9"/>
  <c r="A26" i="9"/>
  <c r="A25" i="9"/>
  <c r="A24" i="9"/>
  <c r="A23" i="9"/>
  <c r="D22" i="9"/>
  <c r="C22" i="9"/>
  <c r="B22" i="9"/>
  <c r="A22" i="9"/>
  <c r="D21" i="9"/>
  <c r="C21" i="9"/>
  <c r="B21" i="9"/>
  <c r="A21" i="9"/>
  <c r="D20" i="9"/>
  <c r="C20" i="9"/>
  <c r="B20" i="9"/>
  <c r="A20" i="9"/>
  <c r="D19" i="9"/>
  <c r="C19" i="9"/>
  <c r="B19" i="9"/>
  <c r="A19" i="9"/>
  <c r="D18" i="9"/>
  <c r="C18" i="9"/>
  <c r="B18" i="9"/>
  <c r="A18" i="9"/>
  <c r="D17" i="9"/>
  <c r="C17" i="9"/>
  <c r="B17" i="9"/>
  <c r="A17" i="9"/>
  <c r="D16" i="9"/>
  <c r="C16" i="9"/>
  <c r="B16" i="9"/>
  <c r="A16" i="9"/>
  <c r="D15" i="9"/>
  <c r="C15" i="9"/>
  <c r="B15" i="9"/>
  <c r="A15" i="9"/>
  <c r="D14" i="9"/>
  <c r="C14" i="9"/>
  <c r="B14" i="9"/>
  <c r="A14" i="9"/>
  <c r="D13" i="9"/>
  <c r="C13" i="9"/>
  <c r="B13" i="9"/>
  <c r="A13" i="9"/>
  <c r="D12" i="9"/>
  <c r="C12" i="9"/>
  <c r="B12" i="9"/>
  <c r="A12" i="9"/>
  <c r="D11" i="9"/>
  <c r="C11" i="9"/>
  <c r="B11" i="9"/>
  <c r="A11" i="9"/>
  <c r="D10" i="9"/>
  <c r="C10" i="9"/>
  <c r="B10" i="9"/>
  <c r="A10" i="9"/>
  <c r="D9" i="9"/>
  <c r="C9" i="9"/>
  <c r="B9" i="9"/>
  <c r="A9" i="9"/>
  <c r="D8" i="9"/>
  <c r="C8" i="9"/>
  <c r="B8" i="9"/>
  <c r="A8" i="9"/>
  <c r="D7" i="9"/>
  <c r="C7" i="9"/>
  <c r="B7" i="9"/>
  <c r="A7" i="9"/>
  <c r="D6" i="9"/>
  <c r="C6" i="9"/>
  <c r="B6" i="9"/>
  <c r="A6" i="9"/>
  <c r="D5" i="9"/>
  <c r="C5" i="9"/>
  <c r="B5" i="9"/>
  <c r="A5" i="9"/>
  <c r="D4" i="9"/>
  <c r="C4" i="9"/>
  <c r="B4" i="9"/>
  <c r="A4" i="9"/>
  <c r="D3" i="9"/>
  <c r="C3" i="9"/>
  <c r="B3" i="9"/>
  <c r="A3" i="9"/>
  <c r="D2" i="9"/>
  <c r="C2" i="9"/>
  <c r="B2" i="9"/>
  <c r="A2" i="9"/>
</calcChain>
</file>

<file path=xl/sharedStrings.xml><?xml version="1.0" encoding="utf-8"?>
<sst xmlns="http://schemas.openxmlformats.org/spreadsheetml/2006/main" count="917" uniqueCount="728">
  <si>
    <t>EU9260ACAA</t>
  </si>
  <si>
    <t>CLIP P/PASADOR E925 6MM AC/A</t>
  </si>
  <si>
    <t>EU9260ACB</t>
  </si>
  <si>
    <t>CLIP P/PASADOR E925 6MM AC/B</t>
  </si>
  <si>
    <t>EU9380ACA</t>
  </si>
  <si>
    <t>CLIP P/PASADOR E93 8MM AC/A</t>
  </si>
  <si>
    <t>EU9380ACB</t>
  </si>
  <si>
    <t>CLIP P/PASADOR E93 8MM AC/B</t>
  </si>
  <si>
    <t>EU9380PPA</t>
  </si>
  <si>
    <t>CLIP P/PASADOR E93 8MM PP/A</t>
  </si>
  <si>
    <t>EUA24MCFTPEA20</t>
  </si>
  <si>
    <t>MODULO CT A24 FT PE A. 20CMS</t>
  </si>
  <si>
    <t>EUA24MCFTPPB20</t>
  </si>
  <si>
    <t>MODULO CT A24 FT PP B. 20CMS</t>
  </si>
  <si>
    <t>EUA24MTFTPEA10</t>
  </si>
  <si>
    <t>MODULO TM A24 FT PE A. 10CMS</t>
  </si>
  <si>
    <t>EUA24MTFTPEA20</t>
  </si>
  <si>
    <t>MODULO TM A24 FT PE A. 20CMS</t>
  </si>
  <si>
    <t>EUA24MTFTPPB10</t>
  </si>
  <si>
    <t>MODULO TM A24 FT PP B. 10CMS</t>
  </si>
  <si>
    <t>EUA24MTFTPPB20</t>
  </si>
  <si>
    <t>MODULO TM A24 FT PP B. 20CMS</t>
  </si>
  <si>
    <t>EUB50MCFGPPA10</t>
  </si>
  <si>
    <t>MODULO CT B50 FG PP A. 20CMS</t>
  </si>
  <si>
    <t>EUB50MCFGPPB10</t>
  </si>
  <si>
    <t>MODULO CT B50 FG PP B. 20CMS</t>
  </si>
  <si>
    <t>EUB50MCFGPPB5</t>
  </si>
  <si>
    <t>MODULO CT B50 FG PP B. 10CMS</t>
  </si>
  <si>
    <t>EUB50MCFTACB10</t>
  </si>
  <si>
    <t>MODULO CT B50 FT AC B. 20CMS</t>
  </si>
  <si>
    <t>EUB50MCFTPPA10</t>
  </si>
  <si>
    <t>MODULO CT B50 FT PP A. 20CMS</t>
  </si>
  <si>
    <t>EUB50MCFTPPB10</t>
  </si>
  <si>
    <t>MODULO CT B50 FT PP B. 20CMS</t>
  </si>
  <si>
    <t>EUB50MTFGPPA10</t>
  </si>
  <si>
    <t>MODULO TM B50 FG PP A. 20CMS</t>
  </si>
  <si>
    <t>EUB50MTFGPPA5</t>
  </si>
  <si>
    <t>MODULO TM B50 FG PP A. 10CMS</t>
  </si>
  <si>
    <t>EUB50MTFGPPB10</t>
  </si>
  <si>
    <t>MODULO TM B50 FG PP B. 20CMS</t>
  </si>
  <si>
    <t>EUB50MTFTACB10</t>
  </si>
  <si>
    <t>MODULO TM B50 FT AC B. 20CMS</t>
  </si>
  <si>
    <t>EUB50MTFTPPA10</t>
  </si>
  <si>
    <t>MODULO TM B50 FT PP A. 20CMS</t>
  </si>
  <si>
    <t>EUB50MTFTPPA5</t>
  </si>
  <si>
    <t>MODULO TM B50 FT PP A. 10CMS</t>
  </si>
  <si>
    <t>EUB50MTFTPPB10</t>
  </si>
  <si>
    <t>MODULO TM B50 FT PP B. 20CMS</t>
  </si>
  <si>
    <t>EUB50MTFTPPB5</t>
  </si>
  <si>
    <t>MODULO TM B50 FT PP B. 10CMS</t>
  </si>
  <si>
    <t>EUB50UX100PPB10</t>
  </si>
  <si>
    <t>EMPUJADOR B50 LISO Y ANTIAD. PP B. 10X20CMS</t>
  </si>
  <si>
    <t>EUB50UX150PPA10</t>
  </si>
  <si>
    <t>EMPUJADOR B50 LISO Y ANTIAD. PP A. 15X20CMS</t>
  </si>
  <si>
    <t>EUB50UX150PPB10</t>
  </si>
  <si>
    <t>EMPUJADOR B50 LISO Y ANTIAD. PP B. 15X20CMS</t>
  </si>
  <si>
    <t>EUB50UX50PPB10</t>
  </si>
  <si>
    <t>EMPUJADOR B50 LISO Y ANTIAD. PP B. 5X20CMS</t>
  </si>
  <si>
    <t>EUB50UZ100PPB10</t>
  </si>
  <si>
    <t>EMPUJADOR B50 CAZOLETA PP B. 10X20CMS</t>
  </si>
  <si>
    <t>EUB50UZ120PPB10</t>
  </si>
  <si>
    <t>EMPUJADOR B50 CAZOLETA PP B. 12X20CMS</t>
  </si>
  <si>
    <t>EUC12MCFGACA6</t>
  </si>
  <si>
    <t>MODULO CT C12 FG AC A. 15CMS</t>
  </si>
  <si>
    <t>EUC12MCFGACA8</t>
  </si>
  <si>
    <t>MODULO CT C12 FG AC A. 20CMS</t>
  </si>
  <si>
    <t>EUC12MCFGPEN4</t>
  </si>
  <si>
    <t>MODULO CT C12 FG PE N. 10CMS</t>
  </si>
  <si>
    <t>EUC12MCFGPEN6</t>
  </si>
  <si>
    <t>MODULO CT C12 FG PE N. 15CMS</t>
  </si>
  <si>
    <t>EUC12MCFGPEN8</t>
  </si>
  <si>
    <t>MODULO CT C12 FG PE N. 20CMS</t>
  </si>
  <si>
    <t>EUC12MCFTACA8</t>
  </si>
  <si>
    <t>MODULO CT C12 FT AC A. 20CMS</t>
  </si>
  <si>
    <t>EUC12MCFTPEN4</t>
  </si>
  <si>
    <t>MODULO CT C12 FT PE N. 10CMS</t>
  </si>
  <si>
    <t>EUC12MCFTPEN6</t>
  </si>
  <si>
    <t>MODULO CT C12 FT PE N. 15CMS</t>
  </si>
  <si>
    <t>EUC12MCFTPEN8</t>
  </si>
  <si>
    <t>MODULO CT C12 FT PE N. 20CMS</t>
  </si>
  <si>
    <t>EUC12MCFTPPA4</t>
  </si>
  <si>
    <t>MODULO CT C12 FT PP A. 10CMS</t>
  </si>
  <si>
    <t>EUC12MCNTACA6</t>
  </si>
  <si>
    <t>MODULO CT C12 NT PE A. 15CMS</t>
  </si>
  <si>
    <t>EUC12MCNTPEA8</t>
  </si>
  <si>
    <t>MODULO CT C12 NT PE A. 20CMS</t>
  </si>
  <si>
    <t>EUC12MTFGACA4</t>
  </si>
  <si>
    <t>MODULO TM C12 FG AC A. 10CMS</t>
  </si>
  <si>
    <t>EUC12MTFGACA8</t>
  </si>
  <si>
    <t>MODULO TM C12 FG AC A. 20CMS</t>
  </si>
  <si>
    <t>EUC12MTFGPE8</t>
  </si>
  <si>
    <t>MODULO TM C12 FG PE N. 20CMS</t>
  </si>
  <si>
    <t>EUC12MTFGPEA4</t>
  </si>
  <si>
    <t>MODULO TM C12 FG PE A. 10CMS</t>
  </si>
  <si>
    <t>EUC12MTFGPEA8</t>
  </si>
  <si>
    <t>MODULO TM C12 FG PE A. 20CMS</t>
  </si>
  <si>
    <t>EUC12MTFGPEN4</t>
  </si>
  <si>
    <t>MODULO TM C12 FG PE N. 10CMS</t>
  </si>
  <si>
    <t>EUC12MTFGPEN8</t>
  </si>
  <si>
    <t>EUC12MTFTACA8</t>
  </si>
  <si>
    <t>MODULO TM C12 FT AC A. 20CMS</t>
  </si>
  <si>
    <t>EUC12MTFTPEN2</t>
  </si>
  <si>
    <t>MODULO TM C12 FT PE N. 5CMS</t>
  </si>
  <si>
    <t>EUC12MTFTPEN4</t>
  </si>
  <si>
    <t>MODULO TM C12 FT PE N. 10CMS</t>
  </si>
  <si>
    <t>EUC12MTFTPEN8</t>
  </si>
  <si>
    <t>MODULO TM C12 FT PE N. 20CMS</t>
  </si>
  <si>
    <t>EUC12MTFTPPA8</t>
  </si>
  <si>
    <t>MODULO TM C12 FT PP A. 20CMS</t>
  </si>
  <si>
    <t>EUC12UA25PEA8</t>
  </si>
  <si>
    <t>EMPUJADOR C12 ANTIAD. NT PE A. 2.5X20CMS</t>
  </si>
  <si>
    <t>EUC12UA50PEA8</t>
  </si>
  <si>
    <t>EMPUJADOR C12 ANTIAD. NT PE A. 5X20CMS</t>
  </si>
  <si>
    <t>EUE20MCFGPEA25</t>
  </si>
  <si>
    <t>MODULO CT E20 FG PE A. 20CMS</t>
  </si>
  <si>
    <t>EUE20MCFGPPA25</t>
  </si>
  <si>
    <t>MODULO CT E20 FG PP A. 20CMS</t>
  </si>
  <si>
    <t>EUE20MCFTPPA25</t>
  </si>
  <si>
    <t>MODULO CT E20 FT PP A. 20CMS</t>
  </si>
  <si>
    <t>EUE20MCRRPPG25</t>
  </si>
  <si>
    <t>MODULO CT E20 RR PP G. 20CMS</t>
  </si>
  <si>
    <t>EUE20MTFGPEA10</t>
  </si>
  <si>
    <t>MODULO TM E20 FG PE A. 8CMS</t>
  </si>
  <si>
    <t>EUE20MTFGPPA10</t>
  </si>
  <si>
    <t>MODULO TM E20 FG PP A. 8CMS</t>
  </si>
  <si>
    <t>EUE20MTFGPPA5</t>
  </si>
  <si>
    <t>MODULO TM E20 FG PP A. 4CMS</t>
  </si>
  <si>
    <t>EUE20MTFTPPA10</t>
  </si>
  <si>
    <t>MODULO TM E20 FT PP A. 8CMS</t>
  </si>
  <si>
    <t>EUE20MTRRPPG10</t>
  </si>
  <si>
    <t>MODULO TM E20 RR PP G. 8CMS</t>
  </si>
  <si>
    <t>EUE20UX50PEA30</t>
  </si>
  <si>
    <t>EMPUJADOR E20 LISO Y ANTIAD. PE A. 5X24CMS</t>
  </si>
  <si>
    <t>EUE20UX50PPA30</t>
  </si>
  <si>
    <t>EMPUJADOR E20 LISO Y ANTIAD. PP A. 5X24CMS</t>
  </si>
  <si>
    <t>EUE30MCFFPPB352</t>
  </si>
  <si>
    <t>EUE30MCFFPPB602</t>
  </si>
  <si>
    <t>EUE30MCFGACA10</t>
  </si>
  <si>
    <t>MODULO CT E30 FG AC A. 10CMS</t>
  </si>
  <si>
    <t>EUE30MCFGACA20</t>
  </si>
  <si>
    <t>MODULO CT E30 FG AC A. 20CMS</t>
  </si>
  <si>
    <t>EUE30MCFGACA25</t>
  </si>
  <si>
    <t>MODULO CT E30 FG AC A. 25CMS</t>
  </si>
  <si>
    <t>EUE30MCFGPEN10</t>
  </si>
  <si>
    <t>MODULO CT E30 FG PE N. 10CMS</t>
  </si>
  <si>
    <t>EUE30MCFGPEN20</t>
  </si>
  <si>
    <t>MODULO CT E30 FG PE N. 20CMS</t>
  </si>
  <si>
    <t>EUE30MCFGPPA10</t>
  </si>
  <si>
    <t>MODULO CT E30 FG PP A. 10CMS</t>
  </si>
  <si>
    <t>EUE30MCFGPPA15</t>
  </si>
  <si>
    <t>MODULO CT E30 FG PP A. 15CMS</t>
  </si>
  <si>
    <t>EUE30MCFGPPA20</t>
  </si>
  <si>
    <t>MODULO CT E30 FG PP A. 20CMS</t>
  </si>
  <si>
    <t>EUE30MCFGPPA25</t>
  </si>
  <si>
    <t>MODULO CT E30 FG PP A. 25CMS</t>
  </si>
  <si>
    <t>EUE30MCFGPPA30</t>
  </si>
  <si>
    <t>MODULO CT E30 FG PP A. 30CMS</t>
  </si>
  <si>
    <t>EUE30MCFGPPA35</t>
  </si>
  <si>
    <t>MODULO CT E30 FG PP A. 35CMS</t>
  </si>
  <si>
    <t>EUE30MCFGPPB10</t>
  </si>
  <si>
    <t>MODULO CT E30 FG PP B. 10CMS</t>
  </si>
  <si>
    <t>EUE30MCFGPPB15</t>
  </si>
  <si>
    <t>MODULO CT E30 FG PP B. 15CMS</t>
  </si>
  <si>
    <t>EUE30MCFGPPB20</t>
  </si>
  <si>
    <t>MODULO CT E30 FG PP B. 20CMS</t>
  </si>
  <si>
    <t>EUE30MCFGPPB25</t>
  </si>
  <si>
    <t>MODULO CT E30 FG PP B. 25CMS</t>
  </si>
  <si>
    <t>EUE30MCFGPPB30</t>
  </si>
  <si>
    <t>MODULO CT E30 FG PP B. 30CMS</t>
  </si>
  <si>
    <t>EUE30MCFGPPB35</t>
  </si>
  <si>
    <t>MODULO CT E30 FG PP B. 35CMS</t>
  </si>
  <si>
    <t>EUE30MCFTACA10</t>
  </si>
  <si>
    <t>MODULO CT E30 FT AC A. 10CMS</t>
  </si>
  <si>
    <t>EUE30MCFTACA20</t>
  </si>
  <si>
    <t>MODULO CT E30 FT AC A. 20CMS</t>
  </si>
  <si>
    <t>EUE30MCFTPPA20</t>
  </si>
  <si>
    <t>MODULO CT E30 FT PP A. 20CMS</t>
  </si>
  <si>
    <t>EUE30MCFTPPB10</t>
  </si>
  <si>
    <t>MODULO CT E30 FT PP B. 10CMS</t>
  </si>
  <si>
    <t>EUE30MCFTPPB15</t>
  </si>
  <si>
    <t>MODULO CT E30 FT PP B. 15CMS</t>
  </si>
  <si>
    <t>EUE30MCFTPPB20</t>
  </si>
  <si>
    <t>MODULO CT E30 FT PP B. 20CMS</t>
  </si>
  <si>
    <t>EUE30MCFTPPB25</t>
  </si>
  <si>
    <t>MODULO CT E30 FT PP B. 25CMS</t>
  </si>
  <si>
    <t>EUE30MCFTPPB30</t>
  </si>
  <si>
    <t>MODULO CT E30 FT PP B. 30CMS</t>
  </si>
  <si>
    <t>EUE30MCFTPPB35</t>
  </si>
  <si>
    <t>MODULO CT E30 FT PP B. 35CMS</t>
  </si>
  <si>
    <t>EUE30MCOGPEN20</t>
  </si>
  <si>
    <t>MODULO CT E30 OG PE N. 20CMS</t>
  </si>
  <si>
    <t>EUE30MCOGPPA20</t>
  </si>
  <si>
    <t>MODULO CT E30 OG PP A. 20CMS</t>
  </si>
  <si>
    <t>EUE30MCOGPPB10</t>
  </si>
  <si>
    <t>MODULO CT E30 OG PP B. 10CMS</t>
  </si>
  <si>
    <t>EUE30MCOGPPB20</t>
  </si>
  <si>
    <t>MODULO CT E30 OG PP B. 20CMS</t>
  </si>
  <si>
    <t>EUE30MCRRPPG20</t>
  </si>
  <si>
    <t>MODULO CT E30 RR PP G. 20CMS</t>
  </si>
  <si>
    <t>EUE30MCTFPPB602</t>
  </si>
  <si>
    <t>MODULO CT E30 TF PP B60 20CMS</t>
  </si>
  <si>
    <t>EUE30MFTPPA10</t>
  </si>
  <si>
    <t>MODULO CT E30 FT PP A. 10CMS</t>
  </si>
  <si>
    <t>EUE30MTFFGACA15</t>
  </si>
  <si>
    <t>MODULO TM E30 FG AC A. 15CMS</t>
  </si>
  <si>
    <t>EUE30MTFFGACA20</t>
  </si>
  <si>
    <t>MODULO TM E30 FG AC A. 20CMS</t>
  </si>
  <si>
    <t>EUE30MTFFGACA30</t>
  </si>
  <si>
    <t>MODULO TM E30 FG AC A. 30CMS</t>
  </si>
  <si>
    <t>EUE30MTFFGACA40</t>
  </si>
  <si>
    <t>MODULO TM E30 FG AC A. 40CMS</t>
  </si>
  <si>
    <t>EUE30MTFFGPPA20</t>
  </si>
  <si>
    <t>MODULO TM E30 FG PP A. 20CMS</t>
  </si>
  <si>
    <t>EUE30MTFFGPPA30</t>
  </si>
  <si>
    <t>MODULO TM E30 FG PP A. 30CMS</t>
  </si>
  <si>
    <t>EUE30MTFFGPPA40</t>
  </si>
  <si>
    <t>MODULO TM E30 FG PP A. 40CMS</t>
  </si>
  <si>
    <t>EUE30MTFFGPPB20</t>
  </si>
  <si>
    <t>MODULO TM E30 FG PP B. 20CMS</t>
  </si>
  <si>
    <t>EUE30MTFFGPPB30</t>
  </si>
  <si>
    <t>MODULO TM E30 FG PP B. 30CMS</t>
  </si>
  <si>
    <t>EUE30MTFFGPPB40</t>
  </si>
  <si>
    <t>MODULO TM E30 FG PP B. 40CMS</t>
  </si>
  <si>
    <t>EUE30MTFGACA10</t>
  </si>
  <si>
    <t>MODULO TM E30 FG AC A. 10CMS</t>
  </si>
  <si>
    <t>MODULO TM E30 FG AC A. 25CMS</t>
  </si>
  <si>
    <t>EUE30MTFGACA5</t>
  </si>
  <si>
    <t>MODULO TM E30 FG AC A. 5CMS</t>
  </si>
  <si>
    <t>EUE30MTFGPEN10</t>
  </si>
  <si>
    <t>MODULO TM E30 FG PE N. 10CMS</t>
  </si>
  <si>
    <t>EUE30MTFGPEN20</t>
  </si>
  <si>
    <t>MODULO TM E30 FG PE N. 20CMS</t>
  </si>
  <si>
    <t>EUE30MTFGPEN30</t>
  </si>
  <si>
    <t>MODULO TM E30 FG PE N. 30CMS</t>
  </si>
  <si>
    <t>EUE30MTFGPEN40</t>
  </si>
  <si>
    <t>MODULO TM E30 FG PE N. 40CMS</t>
  </si>
  <si>
    <t>EUE30MTFGPEN5</t>
  </si>
  <si>
    <t>MODULO TM E30 FG PE N. 5CMS</t>
  </si>
  <si>
    <t>EUE30MTFGPPA10</t>
  </si>
  <si>
    <t>MODULO TM E30 FG PP A. 10CMS</t>
  </si>
  <si>
    <t>EUE30MTFGPPA25</t>
  </si>
  <si>
    <t>MODULO TM E30 FG PP A. 25CMS</t>
  </si>
  <si>
    <t>EUE30MTFGPPA5</t>
  </si>
  <si>
    <t>MODULO TM E30 FG PP A. 5CMS</t>
  </si>
  <si>
    <t>EUE30MTFGPPB10</t>
  </si>
  <si>
    <t>MODULO TM E30 FG PP B. 10CMS</t>
  </si>
  <si>
    <t>EUE30MTFGPPB15</t>
  </si>
  <si>
    <t>MODULO TM E30 FG PP B. 15CMS</t>
  </si>
  <si>
    <t>EUE30MTFGPPB5</t>
  </si>
  <si>
    <t>MODULO TM E30 FG PP B. 5CMS</t>
  </si>
  <si>
    <t>EUE30MTFTACA10</t>
  </si>
  <si>
    <t>MODULO TM E30 FT AC A. 10CMS</t>
  </si>
  <si>
    <t>EUE30MTFTACA5</t>
  </si>
  <si>
    <t>MODULO TM E30 FT AC A. 5CMS</t>
  </si>
  <si>
    <t>EUE30MTFTPPA10</t>
  </si>
  <si>
    <t>MODULO TM E30 FT PP A. 10CMS</t>
  </si>
  <si>
    <t>EUE30MTFTPPA15</t>
  </si>
  <si>
    <t>MODULO TM E30 FT PP B. 15CMS</t>
  </si>
  <si>
    <t>EUE30MTFTPPA20</t>
  </si>
  <si>
    <t>MODULO TM E30 FT PP A. 20CMS</t>
  </si>
  <si>
    <t>EUE30MTFTPPA30</t>
  </si>
  <si>
    <t>MODULO TM E30 FT PP A. 30CMS</t>
  </si>
  <si>
    <t>EUE30MTFTPPA5</t>
  </si>
  <si>
    <t>MODULO TM E30 FT PP A. 5CMS</t>
  </si>
  <si>
    <t>EUE30MTFTPPB10</t>
  </si>
  <si>
    <t>MODULO TM E30 FT PP B. 10CMS</t>
  </si>
  <si>
    <t>EUE30MTFTPPB5</t>
  </si>
  <si>
    <t>MODULO TM E30 FT PP B. 5CMS</t>
  </si>
  <si>
    <t>EUE30MTOGPPA10</t>
  </si>
  <si>
    <t>MODULO TM E30 OG PP A. 10CMS</t>
  </si>
  <si>
    <t>EUE30MTOGPPA5</t>
  </si>
  <si>
    <t>MODULO TM E30 OG PP A. 5CMS</t>
  </si>
  <si>
    <t>EUE30MTOGPPB10</t>
  </si>
  <si>
    <t>MODULO TM E30 OG PP B. 10CMS</t>
  </si>
  <si>
    <t>EUE30MTOGPPB5</t>
  </si>
  <si>
    <t>MODULO TM E30 OG PP B. 5CMS</t>
  </si>
  <si>
    <t>EUE30MTRRPPG10</t>
  </si>
  <si>
    <t>MODULO TM E30 RR PP G. 10CMS</t>
  </si>
  <si>
    <t>EUE30MTTFTACA20</t>
  </si>
  <si>
    <t>MODULO TM E30 FT AC A. 20CMS</t>
  </si>
  <si>
    <t>EUE30MTTFTACA30</t>
  </si>
  <si>
    <t>MODULO TM E30 FT AC A. 30CMS</t>
  </si>
  <si>
    <t>EUE30MTTFTPPB20</t>
  </si>
  <si>
    <t>MODULO TM E30 FT PP B. 20CMS</t>
  </si>
  <si>
    <t>EUE30MTTFTPPB30</t>
  </si>
  <si>
    <t>MODULO TM E30 FT PP B. 30CMS</t>
  </si>
  <si>
    <t>EUE30MTTFTPPB35</t>
  </si>
  <si>
    <t>MODULO TM E30 FT PP B. 35CMS</t>
  </si>
  <si>
    <t>EUE30MTTFTPPB40</t>
  </si>
  <si>
    <t>MODULO TM E30 FT PP B. 40CMS</t>
  </si>
  <si>
    <t>EUE30SG50PPA0</t>
  </si>
  <si>
    <t>GUARDA LATERAL E30 PP/A 5CMS</t>
  </si>
  <si>
    <t>EUE30SG50PPB0</t>
  </si>
  <si>
    <t>GUARDA LATERAL E30 PP/B 5CMS</t>
  </si>
  <si>
    <t>EUE30UCX45PPB20</t>
  </si>
  <si>
    <t>EMPUJADOR E30 CURVO PP B. 4.5X20CMS</t>
  </si>
  <si>
    <t>EUE30UCX70PPB20</t>
  </si>
  <si>
    <t>EMPUJADOR E30 CURVO PP B. 7X20CMS</t>
  </si>
  <si>
    <t>EUE30UFG50PPB20</t>
  </si>
  <si>
    <t>EMPUJADOR E30 LISO Y ANTIAD. FG PP B. 5X20CMS</t>
  </si>
  <si>
    <t>EUE30UX50PEN20</t>
  </si>
  <si>
    <t>EMPUJADOR E30 LISO Y ANTIAD. PE N. 5X20CMS</t>
  </si>
  <si>
    <t>EUE30UX50PPA20</t>
  </si>
  <si>
    <t>EMPUJADOR E30 LISO Y ANTIAD. PP A. 5X20CMS</t>
  </si>
  <si>
    <t>EUE30UX50PPB20</t>
  </si>
  <si>
    <t>EMPUJADOR E30 LISO Y ANTIAD. PP B. 5X20CMS</t>
  </si>
  <si>
    <t>EUE30UX75PPA20</t>
  </si>
  <si>
    <t>EMPUJADOR E30 LISO Y ANTIAD. PP A. 7.5X20CMS</t>
  </si>
  <si>
    <t>EUE30UX75PPB20</t>
  </si>
  <si>
    <t>EMPUJADOR E30 LISO Y ANTIAD. PP B. 7.5X20CMS</t>
  </si>
  <si>
    <t>EUE40MCFGPPG20</t>
  </si>
  <si>
    <t>MODULO CT E40 FG PP G. 20CMS</t>
  </si>
  <si>
    <t>EUE40MTFGPPG10</t>
  </si>
  <si>
    <t>MODULO TM E40 FG PP G. 10CMS</t>
  </si>
  <si>
    <t>EUE40UX100PPG20</t>
  </si>
  <si>
    <t>EMPUJADOR E40 LISO Y ANTIAD. PP G. 10X20CMS</t>
  </si>
  <si>
    <t>EUE41MCRRPPG20</t>
  </si>
  <si>
    <t>MODULO CT E41 RR PP G. 20CMS</t>
  </si>
  <si>
    <t>EUE41MTRRPG10</t>
  </si>
  <si>
    <t>MODULO TM E41 RR PP G. 10CMS</t>
  </si>
  <si>
    <t>EUE50MCFGPEA10</t>
  </si>
  <si>
    <t>MODULO CT E50 FG PE A. 20CMS</t>
  </si>
  <si>
    <t>EUE50MCFGPPA10</t>
  </si>
  <si>
    <t>MODULO CT E50 FG PP A. 20CMS</t>
  </si>
  <si>
    <t>EUE50MCFGPPB10</t>
  </si>
  <si>
    <t>MODULO CT E50 FG PP B. 20CMS</t>
  </si>
  <si>
    <t>EUE50MCFGPPSC10</t>
  </si>
  <si>
    <t>MODULO CT E50 FG PPS/C 20CMS</t>
  </si>
  <si>
    <t>EUE50MCFTPPA10</t>
  </si>
  <si>
    <t>MODULO CT E50 FT PP A. 20CMS</t>
  </si>
  <si>
    <t>EUE50MCFTPPA15</t>
  </si>
  <si>
    <t>MODULO CT E50 FT PP A. 15CMS</t>
  </si>
  <si>
    <t>EUE50MCOGPPB10</t>
  </si>
  <si>
    <t>MODULO CT E50 OG PP B. 20CMS</t>
  </si>
  <si>
    <t>EUE50MCOHPPB10</t>
  </si>
  <si>
    <t>MODULO CT E50 OH PP B. 20CMS</t>
  </si>
  <si>
    <t>EUE50MTDFGPEA10</t>
  </si>
  <si>
    <t>MODULO TM E50 D FG PE A. 20CMS</t>
  </si>
  <si>
    <t>EUE50MTDFGPEA5</t>
  </si>
  <si>
    <t>MODULO TM E50 D FG PE A. 10CMS</t>
  </si>
  <si>
    <t>EUE50MTDFGPPA10</t>
  </si>
  <si>
    <t>MODULO TM E50 D FG PP A. 20CMS</t>
  </si>
  <si>
    <t>EUE50MTDFGPPA5</t>
  </si>
  <si>
    <t>MODULO TM E50 D FG PP A. 10CMS</t>
  </si>
  <si>
    <t>EUE50MTDFGPPB10</t>
  </si>
  <si>
    <t>MODULO TM E50 D FG PP B. 20CMS</t>
  </si>
  <si>
    <t>EUE50MTDFGPPB5</t>
  </si>
  <si>
    <t>MODULO TM E50 D FG PP B. 10CMS</t>
  </si>
  <si>
    <t>EUE50MTDFTPPA10</t>
  </si>
  <si>
    <t>MODULO TM E50 D FT PP A. 20CMS</t>
  </si>
  <si>
    <t>EUE50MTDFTPPA5</t>
  </si>
  <si>
    <t>MODULO TM E50 D FT PP A. 10CMS</t>
  </si>
  <si>
    <t>EUE50MTDFTPPSC2</t>
  </si>
  <si>
    <t>MODULO TM E50 D FT PPS/C 4CMS</t>
  </si>
  <si>
    <t>EUE50MTDFTPPSC4</t>
  </si>
  <si>
    <t>MODULO TM E50 D FT PPS/C 8CMS</t>
  </si>
  <si>
    <t>EUE50MTIFGPEA10</t>
  </si>
  <si>
    <t>MODULO TM E50 I FG PE A. 20CMS</t>
  </si>
  <si>
    <t>EUE50MTIFGPEA5</t>
  </si>
  <si>
    <t>MODULO TM E50 I FG PE A. 10CMS</t>
  </si>
  <si>
    <t>EUE50MTIFGPPA10</t>
  </si>
  <si>
    <t>MODULO TM E50 I FG PP A. 20CMS</t>
  </si>
  <si>
    <t>EUE50MTIFGPPA5</t>
  </si>
  <si>
    <t>MODULO TM E50 I FG PP A. 10CMS</t>
  </si>
  <si>
    <t>EUE50MTIFGPPB10</t>
  </si>
  <si>
    <t>MODULO TM E50 I FG PP B. 20CMS</t>
  </si>
  <si>
    <t>EUE50MTIFGPPB5</t>
  </si>
  <si>
    <t>MODULO TM E50 I FG PP B. 10CMS</t>
  </si>
  <si>
    <t>EUE50MTIFTPPA10</t>
  </si>
  <si>
    <t>MODULO TM E50 I FT PP A. 20CMS</t>
  </si>
  <si>
    <t>EUE50MTIFTPPA5</t>
  </si>
  <si>
    <t>MODULO TM E50 I FT PP A. 10CMS</t>
  </si>
  <si>
    <t>EUE50MTIFTPPSC2</t>
  </si>
  <si>
    <t>MODULO TM E50 I FT PPS/C 4CMS</t>
  </si>
  <si>
    <t>EUE50MTIFTPPSC4</t>
  </si>
  <si>
    <t>MODULO TM E50 I FT PPS/C 8CMS</t>
  </si>
  <si>
    <t>EUE50SG100PPB0</t>
  </si>
  <si>
    <t>GUARDA LATERAL E50 PP/B 10CMS</t>
  </si>
  <si>
    <t>EUE50UCX140PEN1</t>
  </si>
  <si>
    <t>EMPUJADOR E50 CURVO PE N. 14X20CMS</t>
  </si>
  <si>
    <t>EUE50UX100PPA10</t>
  </si>
  <si>
    <t>EMPUJADOR E50 LISO Y ANTIAD. PP A. 10X20CMS</t>
  </si>
  <si>
    <t>EUE50UX100PPB10</t>
  </si>
  <si>
    <t>EMPUJADOR E50 LISO Y ANTIAD. PP B. 10X20CMS</t>
  </si>
  <si>
    <t>EUE50UX150PPB10</t>
  </si>
  <si>
    <t>EMPUJADOR E50 LISO Y ANTIAD. PP B. 15X20CMS</t>
  </si>
  <si>
    <t>EUE50UX25PEA10</t>
  </si>
  <si>
    <t>EMPUJADOR E50 LISO Y ANTIAD. PE A. 2.5X20CMS</t>
  </si>
  <si>
    <t>EUE50UX50PPB10</t>
  </si>
  <si>
    <t>EMPUJADOR E50 LISO Y ANTIAD. PP B. 5X20CMS</t>
  </si>
  <si>
    <t>EUE925MCFGPPA10</t>
  </si>
  <si>
    <t>MODULO CT E925 FG PP A. 10CMS</t>
  </si>
  <si>
    <t>EUE92MCFGPPA10</t>
  </si>
  <si>
    <t>MODULO CT E925 FG PP A. 20CMS</t>
  </si>
  <si>
    <t>EUE92MCFGPPB10</t>
  </si>
  <si>
    <t>MODULO CT E925 FG PP B. 20CMS</t>
  </si>
  <si>
    <t>EUE92SLD4FGPPA1</t>
  </si>
  <si>
    <t>MODULO TM E925 D FG PP A. 20CMS</t>
  </si>
  <si>
    <t>EUE92SLD4FGPPA5</t>
  </si>
  <si>
    <t>MODULO TM E925 D FG PP A. 10CMS</t>
  </si>
  <si>
    <t>EUE92SLD4FGPPB1</t>
  </si>
  <si>
    <t>MODULO TM E925 D FG PP B. 20CMS</t>
  </si>
  <si>
    <t>EUE92SLI4FGPPA1</t>
  </si>
  <si>
    <t>MODULO TM E925 I FG PP A. 20CMS</t>
  </si>
  <si>
    <t>EUE92SLI4FGPPA5</t>
  </si>
  <si>
    <t>MODULO TM E925 I FG PP A. 10CMS</t>
  </si>
  <si>
    <t>EUE92SLI4FGPPB1</t>
  </si>
  <si>
    <t>MODULO TM E925 I FG PP B. 20CMS</t>
  </si>
  <si>
    <t>EUE93CLDFGPPB3.</t>
  </si>
  <si>
    <t>MODULO TM E93 D FG PP B. 8.75CMS C/L</t>
  </si>
  <si>
    <t>EUE93CLIFGPPB3.</t>
  </si>
  <si>
    <t>MODULO TM E93 I FG PP B. 8.75CMS C/L</t>
  </si>
  <si>
    <t>EUE93MCCFXAN8</t>
  </si>
  <si>
    <t>EUE93MCFGACA8</t>
  </si>
  <si>
    <t>MODULO CT E93 FG AC A. 20CMS</t>
  </si>
  <si>
    <t>EUE93MCFGPPA8</t>
  </si>
  <si>
    <t>MODULO CT E93 FG PP A. 20CMS</t>
  </si>
  <si>
    <t>EUE93MCFGPPB8</t>
  </si>
  <si>
    <t>MODULO CT E93 FG PP B. 20CMS</t>
  </si>
  <si>
    <t>EUE93SLDFGACA2.</t>
  </si>
  <si>
    <t>MODULO TM E93 D FG AC A. 6.25CMS</t>
  </si>
  <si>
    <t>EUE93SLDFGACA3.</t>
  </si>
  <si>
    <t>MODULO TM E93 D FG AC A. 8.75CMS</t>
  </si>
  <si>
    <t>EUE93SLDFGPPA2.</t>
  </si>
  <si>
    <t>MODULO TM E93 D FG PP A. 6.25CMS</t>
  </si>
  <si>
    <t>EUE93SLDFGPPA3.</t>
  </si>
  <si>
    <t>MODULO TM E93 D FG PP A. 8.75CMS</t>
  </si>
  <si>
    <t>EUE93SLDFGPPB2.</t>
  </si>
  <si>
    <t>MODULO TM E93 D FG PP B. 6.25CMS</t>
  </si>
  <si>
    <t>EUE93SLDFGPPB3.</t>
  </si>
  <si>
    <t>MODULO TM E93 D FG PP B. 8.75CMS</t>
  </si>
  <si>
    <t>EUE93SLIFGACA2.</t>
  </si>
  <si>
    <t>MODULO TM E93 I FG AC A. 6.25CMS</t>
  </si>
  <si>
    <t>EUE93SLIFGACA3.</t>
  </si>
  <si>
    <t>MODULO TM E93 I FG AC A. 8.75CMS</t>
  </si>
  <si>
    <t>EUE93SLIFGPPA2.</t>
  </si>
  <si>
    <t>MODULO TM E93 I FG PP A. 6.25CMS</t>
  </si>
  <si>
    <t>EUE93SLIFGPPA3.</t>
  </si>
  <si>
    <t>MODULO TM E93 I FG PP A. 8.75CMS</t>
  </si>
  <si>
    <t>EUE93SLIFGPPB2.</t>
  </si>
  <si>
    <t>MODULO TM E93 I FG PP B. 6.25CMS</t>
  </si>
  <si>
    <t>EUE93SLIFGPPB3.</t>
  </si>
  <si>
    <t>MODULO TM E93 I FG PP B. 8.75CMS</t>
  </si>
  <si>
    <t>EUE93UX50PPB8</t>
  </si>
  <si>
    <t>EMPUJADOR E93 LISO Y ANTIA. PP B. 5X20CMS</t>
  </si>
  <si>
    <t>EUFG46ACA</t>
  </si>
  <si>
    <t>TAPA FG AC/A 4.6MM</t>
  </si>
  <si>
    <t>EUFG46ACB</t>
  </si>
  <si>
    <t>TAPA FG AC/B 4.6MM</t>
  </si>
  <si>
    <t>EUFG46ACN</t>
  </si>
  <si>
    <t>TAPA FG AC/N 4.6MM</t>
  </si>
  <si>
    <t>EUFG46PPA</t>
  </si>
  <si>
    <t>TAPA FG PP/A 4.6MM</t>
  </si>
  <si>
    <t>EUFG60ACAA</t>
  </si>
  <si>
    <t>TAPA FG PP/A 6MM</t>
  </si>
  <si>
    <t>EUFG60ACAZ</t>
  </si>
  <si>
    <t>TAPA FG PE/A 6MM</t>
  </si>
  <si>
    <t>EUFG60PPA</t>
  </si>
  <si>
    <t>EUFG60PPB</t>
  </si>
  <si>
    <t>TAPA FG PP/B 6MM</t>
  </si>
  <si>
    <t>EUFG60PPG</t>
  </si>
  <si>
    <t>TAPA FG PP/G 6MM</t>
  </si>
  <si>
    <t>EUTP46ACA</t>
  </si>
  <si>
    <t>TAPA FT/PF AC/A 4.6MM</t>
  </si>
  <si>
    <t>EUTP46ACB</t>
  </si>
  <si>
    <t>TAPA FT/PF AC/B 4.6MM</t>
  </si>
  <si>
    <t>EUTP46ACN</t>
  </si>
  <si>
    <t>TAPA FT/PF AC/N 4.6MM</t>
  </si>
  <si>
    <t>EUTP46PPA</t>
  </si>
  <si>
    <t>TAPA FT/PF PP/A 4.6MM</t>
  </si>
  <si>
    <t>EUTP60PPSC</t>
  </si>
  <si>
    <t>TAPA FT/PF PPS/C 6MM</t>
  </si>
  <si>
    <t>EUVA46ACN</t>
  </si>
  <si>
    <t>PASADOR AC/N 4.6MM</t>
  </si>
  <si>
    <t>EUVA46ACN1050</t>
  </si>
  <si>
    <t>PASADOR AC/N 4.6MMX105CMS</t>
  </si>
  <si>
    <t>EUVA46ACN150</t>
  </si>
  <si>
    <t>PASADOR AC/N 4.6MMX15CMS</t>
  </si>
  <si>
    <t>EUVA46ACN300</t>
  </si>
  <si>
    <t>PASADOR AC/N 4.6MMX30CMS</t>
  </si>
  <si>
    <t>EUVA46ACN400</t>
  </si>
  <si>
    <t>PASADOR AC/N 4.6MMX40CMS</t>
  </si>
  <si>
    <t>EUVA46ACN500</t>
  </si>
  <si>
    <t>PASADOR AC/N 4.6MMX50CMS</t>
  </si>
  <si>
    <t>EUVA46ACN600</t>
  </si>
  <si>
    <t>PASADOR AC/N 4.6MMX60CMS</t>
  </si>
  <si>
    <t>EUVA46ACN700</t>
  </si>
  <si>
    <t>PASADOR AC/N 4.6MMX70CMS</t>
  </si>
  <si>
    <t>EUVA46NYF</t>
  </si>
  <si>
    <t>PASADOR NY 4.6MM</t>
  </si>
  <si>
    <t>EUVA46PBTB</t>
  </si>
  <si>
    <t>PASADOR PBT/B 4.6MM</t>
  </si>
  <si>
    <t>EUVA46PEN</t>
  </si>
  <si>
    <t>PASADOR PE/N 4.6MM</t>
  </si>
  <si>
    <t>EUVA46PEN700</t>
  </si>
  <si>
    <t>PASADOR PE/N 4.6MMX70CMS</t>
  </si>
  <si>
    <t>EUVA46PPN</t>
  </si>
  <si>
    <t>PASADOR PP/N 4.6MM</t>
  </si>
  <si>
    <t>EUVA46PPN240</t>
  </si>
  <si>
    <t>PASADOR PP/N 4.6MMX24CMS</t>
  </si>
  <si>
    <t>EUVA46PPN250</t>
  </si>
  <si>
    <t>PASADOR PP/N 4.6MMX25CMS</t>
  </si>
  <si>
    <t>EUVA46PPN290</t>
  </si>
  <si>
    <t>PASADOR PP/N 4.6MMX29CMS</t>
  </si>
  <si>
    <t>EUVA46PPN300</t>
  </si>
  <si>
    <t>PASADOR PP/N 4.6MMX30CMS</t>
  </si>
  <si>
    <t>EUVA46PPN350</t>
  </si>
  <si>
    <t>PASADOR PP/N 4.6MMX35CMS</t>
  </si>
  <si>
    <t>EUVA46PPN400</t>
  </si>
  <si>
    <t>PASADOR PP/N 4.6MMX40CMS</t>
  </si>
  <si>
    <t>EUVA46PPN500</t>
  </si>
  <si>
    <t>PASADOR PP/N 4.6MMX50CMS</t>
  </si>
  <si>
    <t>EUVA46PPN600</t>
  </si>
  <si>
    <t>PASADOR PP/N 4.6MMX60CMS</t>
  </si>
  <si>
    <t>EUVA46PPN700</t>
  </si>
  <si>
    <t>PASADOR PP/N 4.6MMX70CMS</t>
  </si>
  <si>
    <t>EUVA46PPN800</t>
  </si>
  <si>
    <t>PASADOR PP/N 4.6MMX80CMS</t>
  </si>
  <si>
    <t>EUVA46PPN900</t>
  </si>
  <si>
    <t>PASADOR PP/N 4.6MMX90CMS</t>
  </si>
  <si>
    <t>EUVA55ACB</t>
  </si>
  <si>
    <t>PASADOR AC/B 5.5MM</t>
  </si>
  <si>
    <t>EUVA55PPB</t>
  </si>
  <si>
    <t>PASADOR PP/B 5.5MM</t>
  </si>
  <si>
    <t>EUVA55PPB400</t>
  </si>
  <si>
    <t>PASADOR PP/B 5.5MMX40CM</t>
  </si>
  <si>
    <t>EUVA55PPB500</t>
  </si>
  <si>
    <t>PASADOR PP/B 5.5MMX50CM</t>
  </si>
  <si>
    <t>EUVA60ACN</t>
  </si>
  <si>
    <t>PASADOR AC/N 6MM</t>
  </si>
  <si>
    <t>EUVA60IXN</t>
  </si>
  <si>
    <t>PASADOR IX/N 6MM</t>
  </si>
  <si>
    <t>EUVA60IXN600</t>
  </si>
  <si>
    <t>PASADOR IX/N 6MMX60CMS</t>
  </si>
  <si>
    <t>EUVA60IXN860</t>
  </si>
  <si>
    <t>PASADOR IX/N 6MMX86CMS</t>
  </si>
  <si>
    <t>EUVA60PEN</t>
  </si>
  <si>
    <t>PASADOR PE/N 6MM</t>
  </si>
  <si>
    <t>EUVA60PEN700</t>
  </si>
  <si>
    <t>PASADOR PE/N 6MMX70CMS</t>
  </si>
  <si>
    <t>EUVA60PPN</t>
  </si>
  <si>
    <t>PASADOR PP/N 6MM</t>
  </si>
  <si>
    <t>EUVA60PPN300</t>
  </si>
  <si>
    <t>PASADOR PP/N 6MMX30CMS</t>
  </si>
  <si>
    <t>EUVA60PPN500</t>
  </si>
  <si>
    <t>PASADOR PP/N 6MMX50CMS</t>
  </si>
  <si>
    <t>EUVA60PPN700</t>
  </si>
  <si>
    <t>PASADOR PP/N 6MMX70CMS</t>
  </si>
  <si>
    <t>EUVEMTACN</t>
  </si>
  <si>
    <t>PASADOR AC/N 8MM</t>
  </si>
  <si>
    <t>EUVEMTACN400</t>
  </si>
  <si>
    <t>EUVEMTACN500</t>
  </si>
  <si>
    <t>EUVEMTPPB</t>
  </si>
  <si>
    <t>PASADOR PP/B 8MM</t>
  </si>
  <si>
    <t>EUVEMTPPG</t>
  </si>
  <si>
    <t>PASADOR PP/G 8MM</t>
  </si>
  <si>
    <t>Codigo</t>
  </si>
  <si>
    <t>Producto</t>
  </si>
  <si>
    <t>A24 FT PE A</t>
  </si>
  <si>
    <t>A24 FT PP B</t>
  </si>
  <si>
    <t>B50 FG PP A</t>
  </si>
  <si>
    <t>B50 FG PP B</t>
  </si>
  <si>
    <t>B50 FT AC B</t>
  </si>
  <si>
    <t>B50 FT PP B</t>
  </si>
  <si>
    <t>B50 FT PP A</t>
  </si>
  <si>
    <t>B50 LISO Y ANTIAD. PP B</t>
  </si>
  <si>
    <t>C12 FG AC A</t>
  </si>
  <si>
    <t>C12 FG PE N</t>
  </si>
  <si>
    <t>C12 FT AC A</t>
  </si>
  <si>
    <t>B50</t>
  </si>
  <si>
    <t>C12</t>
  </si>
  <si>
    <t>E20</t>
  </si>
  <si>
    <t>E30</t>
  </si>
  <si>
    <t>E41</t>
  </si>
  <si>
    <t>E50</t>
  </si>
  <si>
    <t>E93</t>
  </si>
  <si>
    <t>E925</t>
  </si>
  <si>
    <t>S</t>
  </si>
  <si>
    <t>N</t>
  </si>
  <si>
    <t>Lateral</t>
  </si>
  <si>
    <t>C12 FT PE N</t>
  </si>
  <si>
    <t>C12 FG PE A</t>
  </si>
  <si>
    <t>C12 FT PP A</t>
  </si>
  <si>
    <t>C12 NT PE A</t>
  </si>
  <si>
    <t>C12 NT. PE A</t>
  </si>
  <si>
    <t>E20 FG PE A</t>
  </si>
  <si>
    <t>E20 FG PP A</t>
  </si>
  <si>
    <t>E20 FT PP A</t>
  </si>
  <si>
    <t>E20 RR PP A</t>
  </si>
  <si>
    <t>E20 LISO Y ANTIAD. PP A</t>
  </si>
  <si>
    <t>E30 CURVO PP B</t>
  </si>
  <si>
    <t>E30 FF PP B</t>
  </si>
  <si>
    <t>MODULO CT E30 FF PP B60 20CMS</t>
  </si>
  <si>
    <t>E30 FF PP G</t>
  </si>
  <si>
    <t>MODULO CT E30 FF PP B35 20CMS</t>
  </si>
  <si>
    <t>E30 FG AC A</t>
  </si>
  <si>
    <t>EUE30MTFFGACA25</t>
  </si>
  <si>
    <t>E30 FG PE N</t>
  </si>
  <si>
    <t>E30 FG PP A</t>
  </si>
  <si>
    <t>EUE30MTFGPPA20</t>
  </si>
  <si>
    <t>EUE30MTFGPPA30</t>
  </si>
  <si>
    <t>E30 FG PP B</t>
  </si>
  <si>
    <t>EUE30MTFGPPB20</t>
  </si>
  <si>
    <t>EUE30MTFGPPB30</t>
  </si>
  <si>
    <t>E30 FT AC A</t>
  </si>
  <si>
    <t>E30 FT PP A</t>
  </si>
  <si>
    <t>E30 FT PP B</t>
  </si>
  <si>
    <t>E30 LISO Y ANTIAD. FG PP B</t>
  </si>
  <si>
    <t>E30 LISO Y ANTIAD. PE N</t>
  </si>
  <si>
    <t>E30 LISO Y ANTIAD. PP A</t>
  </si>
  <si>
    <t>E30 LISO Y ANTIAD. PP B</t>
  </si>
  <si>
    <t>E30 OG PE N</t>
  </si>
  <si>
    <t>E30 OG PP A</t>
  </si>
  <si>
    <t>E30 OG PP B</t>
  </si>
  <si>
    <t>E30 RR PP G</t>
  </si>
  <si>
    <t>E30 TF PP B</t>
  </si>
  <si>
    <t>E40 FG PP G</t>
  </si>
  <si>
    <t>E40 LISO Y ANTIAD. PP G</t>
  </si>
  <si>
    <t>E41 RR PP G</t>
  </si>
  <si>
    <t>E50 CURVO PE N</t>
  </si>
  <si>
    <t>E50 FG PE A</t>
  </si>
  <si>
    <t>E50 FG PP A</t>
  </si>
  <si>
    <t>E50 FG PP B</t>
  </si>
  <si>
    <t>E50 FT PP A</t>
  </si>
  <si>
    <t>E50 FT PPS/C</t>
  </si>
  <si>
    <t>E50 LISO Y ANTIAD. PE A</t>
  </si>
  <si>
    <t>E50 LISO Y ANTIAD. PP A</t>
  </si>
  <si>
    <t>E50 LISO Y ANTIAD. PP B</t>
  </si>
  <si>
    <t>E50 OG PP B</t>
  </si>
  <si>
    <t>E50 OH PP B</t>
  </si>
  <si>
    <t>E925 FG PP A</t>
  </si>
  <si>
    <t>E925 FG PP B</t>
  </si>
  <si>
    <t>EUE92SLD4FGPPB5</t>
  </si>
  <si>
    <t>MODULO TM E925 D FG PP B. 10CMS</t>
  </si>
  <si>
    <t>EUE92SLI4FGPPB5</t>
  </si>
  <si>
    <t>MODULO TM E925 I FG PP B. 10CMS</t>
  </si>
  <si>
    <t>E93 CF XA/N</t>
  </si>
  <si>
    <t>MODULO CT E93 CONIC FRICTION XA/N 20CMS</t>
  </si>
  <si>
    <t>E93 FG AC A</t>
  </si>
  <si>
    <t>E93 FG PP A</t>
  </si>
  <si>
    <t>E93 FG PP B</t>
  </si>
  <si>
    <t>E93 LISO Y ANTIA. PP B.</t>
  </si>
  <si>
    <t>GARDA E30 PP A</t>
  </si>
  <si>
    <t>GARDA E30 PP B</t>
  </si>
  <si>
    <t>GARDA E50 PP B</t>
  </si>
  <si>
    <t>PASADOR AC/N 8MMX40CM</t>
  </si>
  <si>
    <t>PASADOR AC/N 8MMX50CM</t>
  </si>
  <si>
    <t>FT</t>
  </si>
  <si>
    <t>FG</t>
  </si>
  <si>
    <t>OG</t>
  </si>
  <si>
    <t>OH</t>
  </si>
  <si>
    <t>NT</t>
  </si>
  <si>
    <t>FF</t>
  </si>
  <si>
    <t>TF</t>
  </si>
  <si>
    <t>FLAT TOP</t>
  </si>
  <si>
    <t>FLUSH GRID</t>
  </si>
  <si>
    <t>OPEN GRID</t>
  </si>
  <si>
    <t>OPEN HIG</t>
  </si>
  <si>
    <t>NIU TOP</t>
  </si>
  <si>
    <t>FRAT FRICTION</t>
  </si>
  <si>
    <t>TRIAL FRICTION</t>
  </si>
  <si>
    <t>A</t>
  </si>
  <si>
    <t>B</t>
  </si>
  <si>
    <t>G</t>
  </si>
  <si>
    <t>AZUL</t>
  </si>
  <si>
    <t>NATURAL</t>
  </si>
  <si>
    <t>BLANCO</t>
  </si>
  <si>
    <t>GRIS</t>
  </si>
  <si>
    <t>AC</t>
  </si>
  <si>
    <t>ACETAL</t>
  </si>
  <si>
    <t>PP</t>
  </si>
  <si>
    <t>POLIPROPILENO</t>
  </si>
  <si>
    <t>PE</t>
  </si>
  <si>
    <t>POLIETILINEO</t>
  </si>
  <si>
    <t>TAPA FG AC B 4,6</t>
  </si>
  <si>
    <t>TAPA FG AC A 4,6</t>
  </si>
  <si>
    <t>TAPA FG PP A 4,6</t>
  </si>
  <si>
    <t>TAPA FG PE A 6</t>
  </si>
  <si>
    <t>PASADOR PP 6</t>
  </si>
  <si>
    <t>PASADOR PP 4,6</t>
  </si>
  <si>
    <t>PASADOR PP 8</t>
  </si>
  <si>
    <t>PASADOR PE 5,5</t>
  </si>
  <si>
    <t>PASADOR PE 6</t>
  </si>
  <si>
    <t>PASADOR PE 4,6</t>
  </si>
  <si>
    <t>PASADOR PBT 4,6</t>
  </si>
  <si>
    <t>PASADOR NY 4,6</t>
  </si>
  <si>
    <t>TAPA FG PP A 6</t>
  </si>
  <si>
    <t>TAPA FG PP B 6</t>
  </si>
  <si>
    <t>TAPA FG PP G 6</t>
  </si>
  <si>
    <t>TAPA FT AC A 4,6</t>
  </si>
  <si>
    <t>TAPA FT AC B 4,6</t>
  </si>
  <si>
    <t>TAPA FT AC N 4,6</t>
  </si>
  <si>
    <t>TAPA FT PP A 4,6</t>
  </si>
  <si>
    <t>TAPA FT PP S 6</t>
  </si>
  <si>
    <t>CLIP AC A 6</t>
  </si>
  <si>
    <t>CLIP PP A 8</t>
  </si>
  <si>
    <t>CLIP AC B 8</t>
  </si>
  <si>
    <t>CLIP AC B 6</t>
  </si>
  <si>
    <t>CLIP AC A 8</t>
  </si>
  <si>
    <t>PASADOR PP 5,5</t>
  </si>
  <si>
    <t>PASADOR AC 4,6</t>
  </si>
  <si>
    <t>PASADOR AC 6</t>
  </si>
  <si>
    <t>PASADOR AC 8</t>
  </si>
  <si>
    <t>relacion</t>
  </si>
  <si>
    <t>Serie</t>
  </si>
  <si>
    <t>Tipo</t>
  </si>
  <si>
    <t>materialddd</t>
  </si>
  <si>
    <t>Color</t>
  </si>
  <si>
    <t>Material</t>
  </si>
  <si>
    <t>id</t>
  </si>
  <si>
    <t>Altura_mm</t>
  </si>
  <si>
    <t>Pasador_mm</t>
  </si>
  <si>
    <t>TipoBanda</t>
  </si>
  <si>
    <t>serie_id</t>
  </si>
  <si>
    <t>tipo_id</t>
  </si>
  <si>
    <t>material_id</t>
  </si>
  <si>
    <t>color_id</t>
  </si>
  <si>
    <t>ColorBanda</t>
  </si>
  <si>
    <t>E40</t>
  </si>
  <si>
    <t>escala_mm</t>
  </si>
  <si>
    <t>tapa_mm</t>
  </si>
  <si>
    <t>descripcion</t>
  </si>
  <si>
    <t>PBT</t>
  </si>
  <si>
    <t>Tereftalato de Polibutileno</t>
  </si>
  <si>
    <t>color</t>
  </si>
  <si>
    <t xml:space="preserve">tipo tapa </t>
  </si>
  <si>
    <t>CLIP P/PASADOR</t>
  </si>
  <si>
    <t>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</si>
</sst>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b/>
      <sz val="10"/>
      <color theme="0"/>
      <name val="Arial"/>
      <family val="2"/>
    </font>
    <font>
      <sz val="10"/>
      <color theme="0" tint="-0.34998626667073579"/>
      <name val="Arial"/>
      <family val="2"/>
    </font>
    <font>
      <sz val="11"/>
      <color rgb="FF000000"/>
      <name val="Calibri"/>
      <family val="2"/>
    </font>
    <font>
      <sz val="10"/>
      <color rgb="FF00206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u/>
      <sz val="10"/>
      <color theme="0" tint="-0.34998626667073579"/>
      <name val="Arial"/>
      <family val="2"/>
    </font>
    <font>
      <u/>
      <sz val="11"/>
      <name val="Calibri"/>
      <family val="2"/>
    </font>
    <font>
      <u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7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EDFB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2" xfId="0" applyFont="1" applyFill="1" applyBorder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0" fillId="3" borderId="3" xfId="0" applyFill="1" applyBorder="1"/>
    <xf numFmtId="0" fontId="2" fillId="3" borderId="3" xfId="0" applyFont="1" applyFill="1" applyBorder="1"/>
    <xf numFmtId="0" fontId="0" fillId="0" borderId="4" xfId="0" applyBorder="1"/>
    <xf numFmtId="0" fontId="2" fillId="0" borderId="4" xfId="0" applyFont="1" applyBorder="1"/>
    <xf numFmtId="0" fontId="0" fillId="0" borderId="3" xfId="0" applyBorder="1"/>
    <xf numFmtId="0" fontId="2" fillId="0" borderId="3" xfId="0" applyFont="1" applyBorder="1"/>
    <xf numFmtId="0" fontId="0" fillId="3" borderId="4" xfId="0" applyFill="1" applyBorder="1"/>
    <xf numFmtId="0" fontId="2" fillId="3" borderId="4" xfId="0" applyFont="1" applyFill="1" applyBorder="1"/>
    <xf numFmtId="0" fontId="3" fillId="4" borderId="1" xfId="0" applyFont="1" applyFill="1" applyBorder="1"/>
    <xf numFmtId="2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2" fontId="3" fillId="4" borderId="5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0" borderId="6" xfId="0" applyBorder="1"/>
    <xf numFmtId="0" fontId="0" fillId="3" borderId="6" xfId="0" applyFill="1" applyBorder="1"/>
    <xf numFmtId="0" fontId="4" fillId="0" borderId="0" xfId="0" applyFont="1"/>
    <xf numFmtId="0" fontId="4" fillId="3" borderId="0" xfId="0" applyFont="1" applyFill="1"/>
    <xf numFmtId="0" fontId="2" fillId="3" borderId="6" xfId="0" applyFont="1" applyFill="1" applyBorder="1"/>
    <xf numFmtId="0" fontId="2" fillId="0" borderId="6" xfId="0" applyFont="1" applyBorder="1"/>
    <xf numFmtId="0" fontId="5" fillId="0" borderId="0" xfId="0" applyFont="1"/>
    <xf numFmtId="0" fontId="5" fillId="3" borderId="0" xfId="0" applyFont="1" applyFill="1"/>
    <xf numFmtId="0" fontId="7" fillId="0" borderId="3" xfId="0" applyFont="1" applyBorder="1"/>
    <xf numFmtId="0" fontId="7" fillId="3" borderId="0" xfId="0" applyFont="1" applyFill="1"/>
    <xf numFmtId="0" fontId="8" fillId="0" borderId="0" xfId="0" applyFont="1"/>
    <xf numFmtId="0" fontId="6" fillId="0" borderId="3" xfId="0" applyFont="1" applyBorder="1"/>
    <xf numFmtId="2" fontId="9" fillId="4" borderId="5" xfId="0" applyNumberFormat="1" applyFont="1" applyFill="1" applyBorder="1" applyAlignment="1">
      <alignment horizontal="center"/>
    </xf>
    <xf numFmtId="0" fontId="10" fillId="0" borderId="0" xfId="0" applyFont="1"/>
    <xf numFmtId="0" fontId="7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13" fillId="4" borderId="0" xfId="0" applyFont="1" applyFill="1"/>
    <xf numFmtId="2" fontId="3" fillId="4" borderId="7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07BC-82EF-4C4C-B055-6543397A1707}">
  <dimension ref="A1:I28"/>
  <sheetViews>
    <sheetView tabSelected="1" topLeftCell="A13" workbookViewId="0">
      <selection activeCell="D28" sqref="D28"/>
    </sheetView>
  </sheetViews>
  <sheetFormatPr baseColWidth="10" defaultRowHeight="15" x14ac:dyDescent="0.25"/>
  <cols>
    <col min="2" max="2" width="7.28515625" bestFit="1" customWidth="1"/>
    <col min="3" max="3" width="11.140625" bestFit="1" customWidth="1"/>
    <col min="4" max="4" width="8.140625" bestFit="1" customWidth="1"/>
    <col min="5" max="5" width="8.7109375" customWidth="1"/>
    <col min="6" max="6" width="4" bestFit="1" customWidth="1"/>
    <col min="7" max="7" width="3.7109375" bestFit="1" customWidth="1"/>
    <col min="8" max="8" width="3.5703125" customWidth="1"/>
    <col min="9" max="9" width="2.28515625" bestFit="1" customWidth="1"/>
  </cols>
  <sheetData>
    <row r="1" spans="1:9" x14ac:dyDescent="0.25">
      <c r="A1" t="s">
        <v>713</v>
      </c>
      <c r="B1" t="s">
        <v>714</v>
      </c>
      <c r="C1" t="s">
        <v>715</v>
      </c>
      <c r="D1" t="s">
        <v>716</v>
      </c>
    </row>
    <row r="2" spans="1:9" x14ac:dyDescent="0.25">
      <c r="A2">
        <v>4</v>
      </c>
      <c r="B2">
        <v>1</v>
      </c>
      <c r="C2">
        <v>2</v>
      </c>
      <c r="D2">
        <v>3</v>
      </c>
      <c r="F2" s="35" t="str">
        <f t="shared" ref="F2:F21" si="0">VLOOKUP(A2,SERIE,2,0)</f>
        <v>E30</v>
      </c>
      <c r="G2" s="35" t="str">
        <f t="shared" ref="G2:G21" si="1">VLOOKUP(B2,TIPO,2,0)</f>
        <v>FG</v>
      </c>
      <c r="H2" t="str">
        <f t="shared" ref="H2:H21" si="2">VLOOKUP(C2,MATERIAL,2,0)</f>
        <v>PP</v>
      </c>
      <c r="I2" t="str">
        <f t="shared" ref="I2:I21" si="3">VLOOKUP(D2,COLOR,2,0)</f>
        <v>B</v>
      </c>
    </row>
    <row r="3" spans="1:9" x14ac:dyDescent="0.25">
      <c r="A3">
        <v>4</v>
      </c>
      <c r="B3">
        <v>1</v>
      </c>
      <c r="C3">
        <v>2</v>
      </c>
      <c r="D3">
        <v>1</v>
      </c>
      <c r="F3" s="35" t="str">
        <f t="shared" ref="F3" si="4">VLOOKUP(A3,SERIE,2,0)</f>
        <v>E30</v>
      </c>
      <c r="G3" s="35" t="str">
        <f t="shared" ref="G3" si="5">VLOOKUP(B3,TIPO,2,0)</f>
        <v>FG</v>
      </c>
      <c r="H3" t="str">
        <f t="shared" ref="H3" si="6">VLOOKUP(C3,MATERIAL,2,0)</f>
        <v>PP</v>
      </c>
      <c r="I3" t="str">
        <f t="shared" ref="I3" si="7">VLOOKUP(D3,COLOR,2,0)</f>
        <v>A</v>
      </c>
    </row>
    <row r="4" spans="1:9" x14ac:dyDescent="0.25">
      <c r="A4">
        <v>4</v>
      </c>
      <c r="B4">
        <v>1</v>
      </c>
      <c r="C4">
        <v>3</v>
      </c>
      <c r="D4">
        <v>2</v>
      </c>
      <c r="F4" s="35" t="str">
        <f t="shared" si="0"/>
        <v>E30</v>
      </c>
      <c r="G4" s="35" t="str">
        <f t="shared" si="1"/>
        <v>FG</v>
      </c>
      <c r="H4" t="str">
        <f t="shared" si="2"/>
        <v>PE</v>
      </c>
      <c r="I4" t="str">
        <f t="shared" si="3"/>
        <v>N</v>
      </c>
    </row>
    <row r="5" spans="1:9" x14ac:dyDescent="0.25">
      <c r="A5">
        <v>4</v>
      </c>
      <c r="B5">
        <v>1</v>
      </c>
      <c r="C5">
        <v>1</v>
      </c>
      <c r="D5">
        <v>1</v>
      </c>
      <c r="F5" s="35" t="str">
        <f t="shared" si="0"/>
        <v>E30</v>
      </c>
      <c r="G5" s="35" t="str">
        <f t="shared" si="1"/>
        <v>FG</v>
      </c>
      <c r="H5" t="str">
        <f t="shared" si="2"/>
        <v>AC</v>
      </c>
      <c r="I5" t="str">
        <f t="shared" si="3"/>
        <v>A</v>
      </c>
    </row>
    <row r="6" spans="1:9" x14ac:dyDescent="0.25">
      <c r="A6">
        <v>4</v>
      </c>
      <c r="B6">
        <v>2</v>
      </c>
      <c r="C6">
        <v>1</v>
      </c>
      <c r="D6">
        <v>1</v>
      </c>
      <c r="F6" s="36" t="str">
        <f t="shared" si="0"/>
        <v>E30</v>
      </c>
      <c r="G6" s="36" t="str">
        <f t="shared" si="1"/>
        <v>FT</v>
      </c>
      <c r="H6" t="str">
        <f t="shared" si="2"/>
        <v>AC</v>
      </c>
      <c r="I6" t="str">
        <f t="shared" si="3"/>
        <v>A</v>
      </c>
    </row>
    <row r="7" spans="1:9" x14ac:dyDescent="0.25">
      <c r="A7">
        <v>4</v>
      </c>
      <c r="B7">
        <v>2</v>
      </c>
      <c r="C7">
        <v>2</v>
      </c>
      <c r="D7">
        <v>3</v>
      </c>
      <c r="F7" s="36" t="str">
        <f t="shared" ref="F7:F8" si="8">VLOOKUP(A7,SERIE,2,0)</f>
        <v>E30</v>
      </c>
      <c r="G7" s="36" t="str">
        <f t="shared" ref="G7:G8" si="9">VLOOKUP(B7,TIPO,2,0)</f>
        <v>FT</v>
      </c>
      <c r="H7" t="str">
        <f t="shared" ref="H7:H8" si="10">VLOOKUP(C7,MATERIAL,2,0)</f>
        <v>PP</v>
      </c>
      <c r="I7" t="str">
        <f t="shared" ref="I7:I8" si="11">VLOOKUP(D7,COLOR,2,0)</f>
        <v>B</v>
      </c>
    </row>
    <row r="8" spans="1:9" x14ac:dyDescent="0.25">
      <c r="A8">
        <v>4</v>
      </c>
      <c r="B8">
        <v>2</v>
      </c>
      <c r="C8">
        <v>2</v>
      </c>
      <c r="D8">
        <v>1</v>
      </c>
      <c r="F8" s="36" t="str">
        <f t="shared" si="8"/>
        <v>E30</v>
      </c>
      <c r="G8" s="36" t="str">
        <f t="shared" si="9"/>
        <v>FT</v>
      </c>
      <c r="H8" t="str">
        <f t="shared" si="10"/>
        <v>PP</v>
      </c>
      <c r="I8" t="str">
        <f t="shared" si="11"/>
        <v>A</v>
      </c>
    </row>
    <row r="9" spans="1:9" x14ac:dyDescent="0.25">
      <c r="A9">
        <v>1</v>
      </c>
      <c r="B9">
        <v>2</v>
      </c>
      <c r="C9">
        <v>2</v>
      </c>
      <c r="D9">
        <v>3</v>
      </c>
      <c r="F9" t="str">
        <f t="shared" si="0"/>
        <v>B50</v>
      </c>
      <c r="G9" t="str">
        <f t="shared" si="1"/>
        <v>FT</v>
      </c>
      <c r="H9" t="str">
        <f t="shared" si="2"/>
        <v>PP</v>
      </c>
      <c r="I9" t="str">
        <f t="shared" si="3"/>
        <v>B</v>
      </c>
    </row>
    <row r="10" spans="1:9" x14ac:dyDescent="0.25">
      <c r="A10">
        <v>1</v>
      </c>
      <c r="B10">
        <v>2</v>
      </c>
      <c r="C10">
        <v>2</v>
      </c>
      <c r="D10">
        <v>1</v>
      </c>
      <c r="F10" t="str">
        <f t="shared" si="0"/>
        <v>B50</v>
      </c>
      <c r="G10" t="str">
        <f t="shared" si="1"/>
        <v>FT</v>
      </c>
      <c r="H10" t="str">
        <f t="shared" si="2"/>
        <v>PP</v>
      </c>
      <c r="I10" t="str">
        <f t="shared" si="3"/>
        <v>A</v>
      </c>
    </row>
    <row r="11" spans="1:9" x14ac:dyDescent="0.25">
      <c r="A11">
        <v>1</v>
      </c>
      <c r="B11">
        <v>1</v>
      </c>
      <c r="C11">
        <v>3</v>
      </c>
      <c r="D11">
        <v>1</v>
      </c>
      <c r="F11" s="37" t="str">
        <f t="shared" si="0"/>
        <v>B50</v>
      </c>
      <c r="G11" s="37" t="str">
        <f t="shared" si="1"/>
        <v>FG</v>
      </c>
      <c r="H11" s="37" t="str">
        <f t="shared" si="2"/>
        <v>PE</v>
      </c>
      <c r="I11" s="37" t="str">
        <f t="shared" si="3"/>
        <v>A</v>
      </c>
    </row>
    <row r="12" spans="1:9" x14ac:dyDescent="0.25">
      <c r="A12">
        <v>1</v>
      </c>
      <c r="B12">
        <v>1</v>
      </c>
      <c r="C12">
        <v>2</v>
      </c>
      <c r="D12">
        <v>3</v>
      </c>
      <c r="F12" s="37" t="str">
        <f t="shared" si="0"/>
        <v>B50</v>
      </c>
      <c r="G12" s="37" t="str">
        <f t="shared" si="1"/>
        <v>FG</v>
      </c>
      <c r="H12" s="37" t="str">
        <f t="shared" si="2"/>
        <v>PP</v>
      </c>
      <c r="I12" s="37" t="str">
        <f t="shared" si="3"/>
        <v>B</v>
      </c>
    </row>
    <row r="13" spans="1:9" x14ac:dyDescent="0.25">
      <c r="A13">
        <v>1</v>
      </c>
      <c r="B13">
        <v>1</v>
      </c>
      <c r="C13">
        <v>2</v>
      </c>
      <c r="D13">
        <v>1</v>
      </c>
      <c r="F13" s="37" t="str">
        <f t="shared" ref="F13" si="12">VLOOKUP(A13,SERIE,2,0)</f>
        <v>B50</v>
      </c>
      <c r="G13" s="37" t="str">
        <f t="shared" ref="G13" si="13">VLOOKUP(B13,TIPO,2,0)</f>
        <v>FG</v>
      </c>
      <c r="H13" s="37" t="str">
        <f t="shared" ref="H13" si="14">VLOOKUP(C13,MATERIAL,2,0)</f>
        <v>PP</v>
      </c>
      <c r="I13" s="37" t="str">
        <f t="shared" ref="I13" si="15">VLOOKUP(D13,COLOR,2,0)</f>
        <v>A</v>
      </c>
    </row>
    <row r="14" spans="1:9" x14ac:dyDescent="0.25">
      <c r="A14">
        <v>6</v>
      </c>
      <c r="B14">
        <v>2</v>
      </c>
      <c r="C14">
        <v>2</v>
      </c>
      <c r="D14">
        <v>1</v>
      </c>
      <c r="F14" s="35" t="str">
        <f t="shared" ref="F14:F15" si="16">VLOOKUP(A14,SERIE,2,0)</f>
        <v>E50</v>
      </c>
      <c r="G14" s="35" t="str">
        <f t="shared" ref="G14:G15" si="17">VLOOKUP(B14,TIPO,2,0)</f>
        <v>FT</v>
      </c>
      <c r="H14" s="35" t="str">
        <f t="shared" ref="H14:H15" si="18">VLOOKUP(C14,MATERIAL,2,0)</f>
        <v>PP</v>
      </c>
      <c r="I14" s="35" t="str">
        <f t="shared" ref="I14:I15" si="19">VLOOKUP(D14,COLOR,2,0)</f>
        <v>A</v>
      </c>
    </row>
    <row r="15" spans="1:9" x14ac:dyDescent="0.25">
      <c r="A15">
        <v>6</v>
      </c>
      <c r="B15">
        <v>1</v>
      </c>
      <c r="C15">
        <v>2</v>
      </c>
      <c r="D15">
        <v>3</v>
      </c>
      <c r="F15" s="35" t="str">
        <f t="shared" si="16"/>
        <v>E50</v>
      </c>
      <c r="G15" s="35" t="str">
        <f t="shared" si="17"/>
        <v>FG</v>
      </c>
      <c r="H15" s="35" t="str">
        <f t="shared" si="18"/>
        <v>PP</v>
      </c>
      <c r="I15" s="35" t="str">
        <f t="shared" si="19"/>
        <v>B</v>
      </c>
    </row>
    <row r="16" spans="1:9" x14ac:dyDescent="0.25">
      <c r="A16">
        <v>6</v>
      </c>
      <c r="B16">
        <v>1</v>
      </c>
      <c r="C16">
        <v>2</v>
      </c>
      <c r="D16">
        <v>1</v>
      </c>
      <c r="F16" s="35" t="str">
        <f t="shared" ref="F16" si="20">VLOOKUP(A16,SERIE,2,0)</f>
        <v>E50</v>
      </c>
      <c r="G16" s="35" t="str">
        <f t="shared" ref="G16" si="21">VLOOKUP(B16,TIPO,2,0)</f>
        <v>FG</v>
      </c>
      <c r="H16" s="35" t="str">
        <f t="shared" ref="H16" si="22">VLOOKUP(C16,MATERIAL,2,0)</f>
        <v>PP</v>
      </c>
      <c r="I16" s="35" t="str">
        <f t="shared" ref="I16" si="23">VLOOKUP(D16,COLOR,2,0)</f>
        <v>A</v>
      </c>
    </row>
    <row r="17" spans="1:9" x14ac:dyDescent="0.25">
      <c r="A17">
        <v>2</v>
      </c>
      <c r="B17">
        <v>1</v>
      </c>
      <c r="C17">
        <v>1</v>
      </c>
      <c r="D17">
        <v>1</v>
      </c>
      <c r="F17" s="37" t="str">
        <f t="shared" si="0"/>
        <v>C12</v>
      </c>
      <c r="G17" s="37" t="str">
        <f t="shared" si="1"/>
        <v>FG</v>
      </c>
      <c r="H17" s="37" t="str">
        <f t="shared" si="2"/>
        <v>AC</v>
      </c>
      <c r="I17" s="37" t="str">
        <f t="shared" si="3"/>
        <v>A</v>
      </c>
    </row>
    <row r="18" spans="1:9" x14ac:dyDescent="0.25">
      <c r="A18">
        <v>2</v>
      </c>
      <c r="B18">
        <v>1</v>
      </c>
      <c r="C18">
        <v>3</v>
      </c>
      <c r="D18">
        <v>2</v>
      </c>
      <c r="F18" s="37" t="str">
        <f t="shared" si="0"/>
        <v>C12</v>
      </c>
      <c r="G18" s="37" t="str">
        <f t="shared" si="1"/>
        <v>FG</v>
      </c>
      <c r="H18" s="37" t="str">
        <f t="shared" si="2"/>
        <v>PE</v>
      </c>
      <c r="I18" s="37" t="str">
        <f t="shared" si="3"/>
        <v>N</v>
      </c>
    </row>
    <row r="19" spans="1:9" x14ac:dyDescent="0.25">
      <c r="A19">
        <v>2</v>
      </c>
      <c r="B19">
        <v>5</v>
      </c>
      <c r="C19">
        <v>3</v>
      </c>
      <c r="D19">
        <v>1</v>
      </c>
      <c r="F19" s="37" t="str">
        <f t="shared" si="0"/>
        <v>C12</v>
      </c>
      <c r="G19" s="37" t="str">
        <f t="shared" si="1"/>
        <v>NT</v>
      </c>
      <c r="H19" s="37" t="str">
        <f t="shared" si="2"/>
        <v>PE</v>
      </c>
      <c r="I19" s="37" t="str">
        <f t="shared" si="3"/>
        <v>A</v>
      </c>
    </row>
    <row r="20" spans="1:9" x14ac:dyDescent="0.25">
      <c r="A20">
        <v>2</v>
      </c>
      <c r="B20">
        <v>2</v>
      </c>
      <c r="C20">
        <v>1</v>
      </c>
      <c r="D20">
        <v>1</v>
      </c>
      <c r="F20" s="37" t="str">
        <f t="shared" si="0"/>
        <v>C12</v>
      </c>
      <c r="G20" s="37" t="str">
        <f t="shared" si="1"/>
        <v>FT</v>
      </c>
      <c r="H20" s="37" t="str">
        <f t="shared" si="2"/>
        <v>AC</v>
      </c>
      <c r="I20" s="37" t="str">
        <f t="shared" si="3"/>
        <v>A</v>
      </c>
    </row>
    <row r="21" spans="1:9" x14ac:dyDescent="0.25">
      <c r="A21">
        <v>2</v>
      </c>
      <c r="B21">
        <v>2</v>
      </c>
      <c r="C21">
        <v>2</v>
      </c>
      <c r="D21">
        <v>1</v>
      </c>
      <c r="F21" s="37" t="str">
        <f t="shared" si="0"/>
        <v>C12</v>
      </c>
      <c r="G21" s="37" t="str">
        <f t="shared" si="1"/>
        <v>FT</v>
      </c>
      <c r="H21" s="37" t="str">
        <f t="shared" si="2"/>
        <v>PP</v>
      </c>
      <c r="I21" s="37" t="str">
        <f t="shared" si="3"/>
        <v>A</v>
      </c>
    </row>
    <row r="22" spans="1:9" x14ac:dyDescent="0.25">
      <c r="A22">
        <v>7</v>
      </c>
      <c r="B22">
        <v>1</v>
      </c>
      <c r="C22">
        <v>1</v>
      </c>
      <c r="D22">
        <v>1</v>
      </c>
      <c r="F22" t="str">
        <f t="shared" ref="F22:F24" si="24">VLOOKUP(A22,SERIE,2,0)</f>
        <v>E93</v>
      </c>
      <c r="G22" t="str">
        <f t="shared" ref="G22:G24" si="25">VLOOKUP(B22,TIPO,2,0)</f>
        <v>FG</v>
      </c>
      <c r="H22" t="str">
        <f t="shared" ref="H22:H24" si="26">VLOOKUP(C22,MATERIAL,2,0)</f>
        <v>AC</v>
      </c>
      <c r="I22" t="str">
        <f t="shared" ref="I22:I24" si="27">VLOOKUP(D22,COLOR,2,0)</f>
        <v>A</v>
      </c>
    </row>
    <row r="23" spans="1:9" x14ac:dyDescent="0.25">
      <c r="A23">
        <v>7</v>
      </c>
      <c r="B23">
        <v>1</v>
      </c>
      <c r="C23">
        <v>2</v>
      </c>
      <c r="D23">
        <v>1</v>
      </c>
      <c r="F23" t="str">
        <f t="shared" si="24"/>
        <v>E93</v>
      </c>
      <c r="G23" t="str">
        <f t="shared" si="25"/>
        <v>FG</v>
      </c>
      <c r="H23" t="str">
        <f t="shared" si="26"/>
        <v>PP</v>
      </c>
      <c r="I23" t="str">
        <f t="shared" si="27"/>
        <v>A</v>
      </c>
    </row>
    <row r="24" spans="1:9" x14ac:dyDescent="0.25">
      <c r="A24">
        <v>7</v>
      </c>
      <c r="B24">
        <v>1</v>
      </c>
      <c r="C24">
        <v>2</v>
      </c>
      <c r="D24">
        <v>3</v>
      </c>
      <c r="F24" t="str">
        <f t="shared" si="24"/>
        <v>E93</v>
      </c>
      <c r="G24" t="str">
        <f t="shared" si="25"/>
        <v>FG</v>
      </c>
      <c r="H24" t="str">
        <f t="shared" si="26"/>
        <v>PP</v>
      </c>
      <c r="I24" t="str">
        <f t="shared" si="27"/>
        <v>B</v>
      </c>
    </row>
    <row r="25" spans="1:9" x14ac:dyDescent="0.25">
      <c r="A25">
        <v>8</v>
      </c>
      <c r="B25">
        <v>1</v>
      </c>
      <c r="C25">
        <v>2</v>
      </c>
      <c r="D25">
        <v>1</v>
      </c>
      <c r="F25" t="str">
        <f t="shared" ref="F25:F26" si="28">VLOOKUP(A25,SERIE,2,0)</f>
        <v>E925</v>
      </c>
      <c r="G25" t="str">
        <f t="shared" ref="G25:G26" si="29">VLOOKUP(B25,TIPO,2,0)</f>
        <v>FG</v>
      </c>
      <c r="H25" t="str">
        <f t="shared" ref="H25:H26" si="30">VLOOKUP(C25,MATERIAL,2,0)</f>
        <v>PP</v>
      </c>
      <c r="I25" t="str">
        <f t="shared" ref="I25:I26" si="31">VLOOKUP(D25,COLOR,2,0)</f>
        <v>A</v>
      </c>
    </row>
    <row r="26" spans="1:9" x14ac:dyDescent="0.25">
      <c r="A26">
        <v>8</v>
      </c>
      <c r="B26">
        <v>1</v>
      </c>
      <c r="C26">
        <v>2</v>
      </c>
      <c r="D26">
        <v>3</v>
      </c>
      <c r="F26" t="str">
        <f t="shared" si="28"/>
        <v>E925</v>
      </c>
      <c r="G26" t="str">
        <f t="shared" si="29"/>
        <v>FG</v>
      </c>
      <c r="H26" t="str">
        <f t="shared" si="30"/>
        <v>PP</v>
      </c>
      <c r="I26" t="str">
        <f t="shared" si="31"/>
        <v>B</v>
      </c>
    </row>
    <row r="27" spans="1:9" x14ac:dyDescent="0.25">
      <c r="A27">
        <v>9</v>
      </c>
      <c r="B27">
        <v>1</v>
      </c>
      <c r="C27">
        <v>2</v>
      </c>
      <c r="D27">
        <v>4</v>
      </c>
      <c r="F27" t="str">
        <f t="shared" ref="F27" si="32">VLOOKUP(A27,SERIE,2,0)</f>
        <v>E40</v>
      </c>
      <c r="G27" t="str">
        <f t="shared" ref="G27" si="33">VLOOKUP(B27,TIPO,2,0)</f>
        <v>FG</v>
      </c>
      <c r="H27" t="str">
        <f t="shared" ref="H27" si="34">VLOOKUP(C27,MATERIAL,2,0)</f>
        <v>PP</v>
      </c>
      <c r="I27" t="str">
        <f t="shared" ref="I27" si="35">VLOOKUP(D27,COLOR,2,0)</f>
        <v>G</v>
      </c>
    </row>
    <row r="28" spans="1:9" x14ac:dyDescent="0.25">
      <c r="A28">
        <v>9</v>
      </c>
      <c r="B28">
        <v>3</v>
      </c>
      <c r="C28">
        <v>2</v>
      </c>
      <c r="D28">
        <v>3</v>
      </c>
      <c r="F28" t="str">
        <f t="shared" ref="F28" si="36">VLOOKUP(A28,SERIE,2,0)</f>
        <v>E40</v>
      </c>
      <c r="G28" t="str">
        <f t="shared" ref="G28" si="37">VLOOKUP(B28,TIPO,2,0)</f>
        <v>OG</v>
      </c>
      <c r="H28" t="str">
        <f t="shared" ref="H28" si="38">VLOOKUP(C28,MATERIAL,2,0)</f>
        <v>PP</v>
      </c>
      <c r="I28" t="str">
        <f t="shared" ref="I28" si="39">VLOOKUP(D28,COLOR,2,0)</f>
        <v>B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0838-53E2-46E0-B92B-E898BA3E11C5}">
  <dimension ref="A1:I27"/>
  <sheetViews>
    <sheetView workbookViewId="0">
      <selection activeCell="B9" sqref="B9"/>
    </sheetView>
  </sheetViews>
  <sheetFormatPr baseColWidth="10" defaultRowHeight="15" x14ac:dyDescent="0.25"/>
  <cols>
    <col min="1" max="1" width="2.7109375" bestFit="1" customWidth="1"/>
    <col min="2" max="2" width="7" customWidth="1"/>
    <col min="3" max="3" width="12.5703125" bestFit="1" customWidth="1"/>
    <col min="4" max="4" width="12.5703125" customWidth="1"/>
    <col min="5" max="5" width="10.42578125" bestFit="1" customWidth="1"/>
    <col min="6" max="6" width="10.85546875" bestFit="1" customWidth="1"/>
    <col min="7" max="7" width="11.140625" customWidth="1"/>
    <col min="8" max="8" width="15.7109375" bestFit="1" customWidth="1"/>
  </cols>
  <sheetData>
    <row r="1" spans="1:8" x14ac:dyDescent="0.25">
      <c r="A1" t="s">
        <v>709</v>
      </c>
      <c r="B1" s="13" t="s">
        <v>704</v>
      </c>
      <c r="C1" s="13" t="s">
        <v>710</v>
      </c>
      <c r="D1" s="13" t="s">
        <v>711</v>
      </c>
      <c r="E1" s="13" t="s">
        <v>579</v>
      </c>
      <c r="F1" s="13" t="s">
        <v>719</v>
      </c>
      <c r="G1" s="41" t="s">
        <v>720</v>
      </c>
      <c r="H1" s="41" t="s">
        <v>725</v>
      </c>
    </row>
    <row r="2" spans="1:8" x14ac:dyDescent="0.25">
      <c r="A2">
        <v>1</v>
      </c>
      <c r="B2" s="38" t="s">
        <v>569</v>
      </c>
      <c r="C2" s="14">
        <v>50</v>
      </c>
      <c r="D2" s="32">
        <v>5.5</v>
      </c>
      <c r="E2" s="19" t="s">
        <v>578</v>
      </c>
      <c r="F2" s="18">
        <v>2</v>
      </c>
      <c r="G2" s="18">
        <v>6</v>
      </c>
      <c r="H2" t="s">
        <v>727</v>
      </c>
    </row>
    <row r="3" spans="1:8" x14ac:dyDescent="0.25">
      <c r="A3">
        <v>2</v>
      </c>
      <c r="B3" s="16" t="s">
        <v>570</v>
      </c>
      <c r="C3" s="14">
        <v>12</v>
      </c>
      <c r="D3" s="14">
        <v>4.5999999999999996</v>
      </c>
      <c r="E3" s="15" t="s">
        <v>578</v>
      </c>
      <c r="F3" s="14">
        <v>2.5</v>
      </c>
      <c r="G3" s="14">
        <v>4.5999999999999996</v>
      </c>
      <c r="H3" t="s">
        <v>727</v>
      </c>
    </row>
    <row r="4" spans="1:8" x14ac:dyDescent="0.25">
      <c r="A4">
        <v>3</v>
      </c>
      <c r="B4" s="16" t="s">
        <v>571</v>
      </c>
      <c r="C4" s="14">
        <v>20</v>
      </c>
      <c r="D4" s="14">
        <v>4.5999999999999996</v>
      </c>
      <c r="E4" s="15" t="s">
        <v>578</v>
      </c>
      <c r="F4" s="14">
        <v>0.8</v>
      </c>
      <c r="G4" s="14">
        <v>4.5999999999999996</v>
      </c>
      <c r="H4" t="s">
        <v>727</v>
      </c>
    </row>
    <row r="5" spans="1:8" x14ac:dyDescent="0.25">
      <c r="A5">
        <v>4</v>
      </c>
      <c r="B5" s="38" t="s">
        <v>572</v>
      </c>
      <c r="C5" s="14">
        <v>30</v>
      </c>
      <c r="D5" s="14">
        <v>4.5999999999999996</v>
      </c>
      <c r="E5" s="15" t="s">
        <v>578</v>
      </c>
      <c r="F5" s="14">
        <v>1</v>
      </c>
      <c r="G5" s="14">
        <v>4.5999999999999996</v>
      </c>
      <c r="H5" t="s">
        <v>727</v>
      </c>
    </row>
    <row r="6" spans="1:8" x14ac:dyDescent="0.25">
      <c r="A6">
        <v>5</v>
      </c>
      <c r="B6" s="17" t="s">
        <v>573</v>
      </c>
      <c r="C6" s="14">
        <v>40</v>
      </c>
      <c r="D6" s="14">
        <v>6</v>
      </c>
      <c r="E6" s="15" t="s">
        <v>578</v>
      </c>
      <c r="F6" s="14">
        <v>1</v>
      </c>
      <c r="G6" s="14">
        <v>6</v>
      </c>
      <c r="H6" t="s">
        <v>727</v>
      </c>
    </row>
    <row r="7" spans="1:8" x14ac:dyDescent="0.25">
      <c r="A7">
        <v>6</v>
      </c>
      <c r="B7" s="38" t="s">
        <v>574</v>
      </c>
      <c r="C7" s="14">
        <v>50</v>
      </c>
      <c r="D7" s="14">
        <v>6</v>
      </c>
      <c r="E7" s="15" t="s">
        <v>577</v>
      </c>
      <c r="F7" s="14">
        <v>2</v>
      </c>
      <c r="G7" s="14">
        <v>6</v>
      </c>
      <c r="H7" t="s">
        <v>727</v>
      </c>
    </row>
    <row r="8" spans="1:8" x14ac:dyDescent="0.25">
      <c r="A8">
        <v>7</v>
      </c>
      <c r="B8" s="38" t="s">
        <v>575</v>
      </c>
      <c r="C8" s="14">
        <v>30</v>
      </c>
      <c r="D8" s="14">
        <v>8</v>
      </c>
      <c r="E8" s="15" t="s">
        <v>577</v>
      </c>
      <c r="F8" s="14">
        <v>2.5</v>
      </c>
      <c r="G8" s="14">
        <v>8</v>
      </c>
      <c r="H8" t="s">
        <v>726</v>
      </c>
    </row>
    <row r="9" spans="1:8" x14ac:dyDescent="0.25">
      <c r="A9">
        <v>8</v>
      </c>
      <c r="B9" s="16" t="s">
        <v>576</v>
      </c>
      <c r="C9" s="14">
        <v>25</v>
      </c>
      <c r="D9" s="14">
        <v>6</v>
      </c>
      <c r="E9" s="15" t="s">
        <v>577</v>
      </c>
      <c r="F9" s="14">
        <v>2.5</v>
      </c>
      <c r="G9" s="14">
        <v>6</v>
      </c>
      <c r="H9" t="s">
        <v>726</v>
      </c>
    </row>
    <row r="10" spans="1:8" x14ac:dyDescent="0.25">
      <c r="A10">
        <v>9</v>
      </c>
      <c r="B10" s="17" t="s">
        <v>718</v>
      </c>
      <c r="C10" s="39">
        <v>40</v>
      </c>
      <c r="D10" s="39">
        <v>6</v>
      </c>
      <c r="E10" s="40" t="s">
        <v>578</v>
      </c>
      <c r="F10" s="39">
        <v>2</v>
      </c>
      <c r="G10" s="39">
        <v>6</v>
      </c>
      <c r="H10" t="s">
        <v>727</v>
      </c>
    </row>
    <row r="14" spans="1:8" x14ac:dyDescent="0.25">
      <c r="E14" s="30"/>
      <c r="H14" s="30"/>
    </row>
    <row r="27" spans="9:9" x14ac:dyDescent="0.25">
      <c r="I27" s="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C8B0-1515-48FB-BB34-A8A05F5C3C5A}">
  <dimension ref="A1:F8"/>
  <sheetViews>
    <sheetView workbookViewId="0">
      <selection activeCell="C11" sqref="C11"/>
    </sheetView>
  </sheetViews>
  <sheetFormatPr baseColWidth="10" defaultRowHeight="15" x14ac:dyDescent="0.25"/>
  <cols>
    <col min="1" max="1" width="2.7109375" bestFit="1" customWidth="1"/>
    <col min="2" max="2" width="10.28515625" bestFit="1" customWidth="1"/>
    <col min="3" max="3" width="14.5703125" bestFit="1" customWidth="1"/>
    <col min="5" max="5" width="2.42578125" bestFit="1" customWidth="1"/>
    <col min="8" max="8" width="3.42578125" bestFit="1" customWidth="1"/>
    <col min="9" max="9" width="15.140625" bestFit="1" customWidth="1"/>
  </cols>
  <sheetData>
    <row r="1" spans="1:6" x14ac:dyDescent="0.25">
      <c r="A1" t="s">
        <v>709</v>
      </c>
      <c r="B1" s="31" t="s">
        <v>712</v>
      </c>
      <c r="C1" s="31" t="s">
        <v>721</v>
      </c>
    </row>
    <row r="2" spans="1:6" x14ac:dyDescent="0.25">
      <c r="A2">
        <v>1</v>
      </c>
      <c r="B2" t="s">
        <v>648</v>
      </c>
      <c r="C2" t="s">
        <v>655</v>
      </c>
    </row>
    <row r="3" spans="1:6" x14ac:dyDescent="0.25">
      <c r="A3">
        <v>2</v>
      </c>
      <c r="B3" t="s">
        <v>647</v>
      </c>
      <c r="C3" t="s">
        <v>654</v>
      </c>
    </row>
    <row r="4" spans="1:6" x14ac:dyDescent="0.25">
      <c r="A4">
        <v>3</v>
      </c>
      <c r="B4" t="s">
        <v>649</v>
      </c>
      <c r="C4" t="s">
        <v>656</v>
      </c>
      <c r="F4" s="30"/>
    </row>
    <row r="5" spans="1:6" x14ac:dyDescent="0.25">
      <c r="A5">
        <v>4</v>
      </c>
      <c r="B5" t="s">
        <v>650</v>
      </c>
      <c r="C5" t="s">
        <v>657</v>
      </c>
    </row>
    <row r="6" spans="1:6" x14ac:dyDescent="0.25">
      <c r="A6">
        <v>5</v>
      </c>
      <c r="B6" t="s">
        <v>651</v>
      </c>
      <c r="C6" t="s">
        <v>658</v>
      </c>
    </row>
    <row r="7" spans="1:6" x14ac:dyDescent="0.25">
      <c r="A7">
        <v>6</v>
      </c>
      <c r="B7" t="s">
        <v>652</v>
      </c>
      <c r="C7" t="s">
        <v>659</v>
      </c>
    </row>
    <row r="8" spans="1:6" x14ac:dyDescent="0.25">
      <c r="A8">
        <v>7</v>
      </c>
      <c r="B8" t="s">
        <v>653</v>
      </c>
      <c r="C8" t="s">
        <v>660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117E-618D-41A1-B3B5-E0AC742B9FFA}">
  <dimension ref="A1:D6"/>
  <sheetViews>
    <sheetView workbookViewId="0">
      <selection activeCell="F8" sqref="F8"/>
    </sheetView>
  </sheetViews>
  <sheetFormatPr baseColWidth="10" defaultRowHeight="15" x14ac:dyDescent="0.25"/>
  <cols>
    <col min="2" max="2" width="14.28515625" customWidth="1"/>
    <col min="3" max="3" width="15.140625" bestFit="1" customWidth="1"/>
  </cols>
  <sheetData>
    <row r="1" spans="1:4" x14ac:dyDescent="0.25">
      <c r="A1" t="s">
        <v>709</v>
      </c>
      <c r="B1" s="31" t="s">
        <v>708</v>
      </c>
      <c r="C1" s="31" t="s">
        <v>706</v>
      </c>
    </row>
    <row r="2" spans="1:4" x14ac:dyDescent="0.25">
      <c r="A2">
        <v>1</v>
      </c>
      <c r="B2" s="30" t="s">
        <v>668</v>
      </c>
      <c r="C2" t="s">
        <v>669</v>
      </c>
    </row>
    <row r="3" spans="1:4" x14ac:dyDescent="0.25">
      <c r="A3">
        <v>2</v>
      </c>
      <c r="B3" t="s">
        <v>670</v>
      </c>
      <c r="C3" t="s">
        <v>671</v>
      </c>
    </row>
    <row r="4" spans="1:4" x14ac:dyDescent="0.25">
      <c r="A4">
        <v>3</v>
      </c>
      <c r="B4" t="s">
        <v>672</v>
      </c>
      <c r="C4" t="s">
        <v>673</v>
      </c>
    </row>
    <row r="5" spans="1:4" x14ac:dyDescent="0.25">
      <c r="B5" t="s">
        <v>722</v>
      </c>
      <c r="C5" t="s">
        <v>723</v>
      </c>
    </row>
    <row r="6" spans="1:4" x14ac:dyDescent="0.25">
      <c r="D6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FDE-362C-460F-82F8-0ED3032A031A}">
  <dimension ref="A1:K24"/>
  <sheetViews>
    <sheetView workbookViewId="0">
      <selection activeCell="G8" sqref="G8"/>
    </sheetView>
  </sheetViews>
  <sheetFormatPr baseColWidth="10" defaultRowHeight="15" x14ac:dyDescent="0.25"/>
  <cols>
    <col min="2" max="2" width="11.140625" bestFit="1" customWidth="1"/>
    <col min="3" max="3" width="11.140625" customWidth="1"/>
  </cols>
  <sheetData>
    <row r="1" spans="1:9" x14ac:dyDescent="0.25">
      <c r="A1" t="s">
        <v>709</v>
      </c>
      <c r="B1" s="31" t="s">
        <v>717</v>
      </c>
      <c r="C1" s="31" t="s">
        <v>724</v>
      </c>
    </row>
    <row r="2" spans="1:9" x14ac:dyDescent="0.25">
      <c r="A2">
        <v>1</v>
      </c>
      <c r="B2" t="s">
        <v>661</v>
      </c>
      <c r="C2" t="s">
        <v>664</v>
      </c>
      <c r="D2" s="30"/>
    </row>
    <row r="3" spans="1:9" x14ac:dyDescent="0.25">
      <c r="A3">
        <v>2</v>
      </c>
      <c r="B3" t="s">
        <v>578</v>
      </c>
      <c r="C3" t="s">
        <v>665</v>
      </c>
    </row>
    <row r="4" spans="1:9" x14ac:dyDescent="0.25">
      <c r="A4">
        <v>3</v>
      </c>
      <c r="B4" s="33" t="s">
        <v>662</v>
      </c>
      <c r="C4" t="s">
        <v>666</v>
      </c>
    </row>
    <row r="5" spans="1:9" x14ac:dyDescent="0.25">
      <c r="A5">
        <v>4</v>
      </c>
      <c r="B5" t="s">
        <v>663</v>
      </c>
      <c r="C5" t="s">
        <v>667</v>
      </c>
      <c r="E5" s="33"/>
    </row>
    <row r="14" spans="1:9" x14ac:dyDescent="0.25">
      <c r="I14" s="30"/>
    </row>
    <row r="20" spans="10:11" x14ac:dyDescent="0.25">
      <c r="J20" s="30"/>
    </row>
    <row r="24" spans="10:11" x14ac:dyDescent="0.25">
      <c r="K24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FE14-7C3A-45D3-9FC2-6316E354B38F}">
  <dimension ref="A1:G289"/>
  <sheetViews>
    <sheetView workbookViewId="0">
      <pane ySplit="1" topLeftCell="A2" activePane="bottomLeft" state="frozen"/>
      <selection pane="bottomLeft" activeCell="B23" sqref="B23"/>
    </sheetView>
  </sheetViews>
  <sheetFormatPr baseColWidth="10" defaultRowHeight="15" x14ac:dyDescent="0.25"/>
  <cols>
    <col min="5" max="5" width="19.140625" bestFit="1" customWidth="1"/>
    <col min="6" max="6" width="27.140625" bestFit="1" customWidth="1"/>
    <col min="7" max="7" width="44.42578125" bestFit="1" customWidth="1"/>
  </cols>
  <sheetData>
    <row r="1" spans="1:7" x14ac:dyDescent="0.25">
      <c r="A1" s="33" t="s">
        <v>704</v>
      </c>
      <c r="B1" s="33" t="s">
        <v>705</v>
      </c>
      <c r="C1" s="33" t="s">
        <v>708</v>
      </c>
      <c r="D1" s="33" t="s">
        <v>707</v>
      </c>
      <c r="E1" s="1" t="s">
        <v>556</v>
      </c>
      <c r="F1" s="1" t="s">
        <v>703</v>
      </c>
      <c r="G1" s="1" t="s">
        <v>557</v>
      </c>
    </row>
    <row r="2" spans="1:7" x14ac:dyDescent="0.25">
      <c r="A2" t="str">
        <f>MID(F2,1,3)</f>
        <v>A24</v>
      </c>
      <c r="B2" t="str">
        <f>MID(F2,5,2)</f>
        <v>FT</v>
      </c>
      <c r="C2" t="str">
        <f>MID(F2,8,2)</f>
        <v>PE</v>
      </c>
      <c r="D2" t="str">
        <f>MID(F2,11,1)</f>
        <v>A</v>
      </c>
      <c r="E2" s="2" t="s">
        <v>10</v>
      </c>
      <c r="F2" s="3" t="s">
        <v>558</v>
      </c>
      <c r="G2" s="2" t="s">
        <v>11</v>
      </c>
    </row>
    <row r="3" spans="1:7" x14ac:dyDescent="0.25">
      <c r="A3" t="str">
        <f t="shared" ref="A3:A66" si="0">MID(F3,1,3)</f>
        <v>A24</v>
      </c>
      <c r="B3" t="str">
        <f t="shared" ref="B3:B66" si="1">MID(F3,5,2)</f>
        <v>FT</v>
      </c>
      <c r="C3" t="str">
        <f t="shared" ref="C3:C66" si="2">MID(F3,8,2)</f>
        <v>PE</v>
      </c>
      <c r="D3" t="str">
        <f t="shared" ref="D3:D66" si="3">MID(F3,11,1)</f>
        <v>A</v>
      </c>
      <c r="E3" t="s">
        <v>14</v>
      </c>
      <c r="F3" s="34" t="s">
        <v>558</v>
      </c>
      <c r="G3" t="s">
        <v>15</v>
      </c>
    </row>
    <row r="4" spans="1:7" x14ac:dyDescent="0.25">
      <c r="A4" t="str">
        <f t="shared" si="0"/>
        <v>A24</v>
      </c>
      <c r="B4" t="str">
        <f t="shared" si="1"/>
        <v>FT</v>
      </c>
      <c r="C4" t="str">
        <f t="shared" si="2"/>
        <v>PE</v>
      </c>
      <c r="D4" t="str">
        <f t="shared" si="3"/>
        <v>A</v>
      </c>
      <c r="E4" s="5" t="s">
        <v>16</v>
      </c>
      <c r="F4" s="6" t="s">
        <v>558</v>
      </c>
      <c r="G4" s="5" t="s">
        <v>17</v>
      </c>
    </row>
    <row r="5" spans="1:7" x14ac:dyDescent="0.25">
      <c r="A5" t="str">
        <f t="shared" si="0"/>
        <v>A24</v>
      </c>
      <c r="B5" t="str">
        <f t="shared" si="1"/>
        <v>FT</v>
      </c>
      <c r="C5" t="str">
        <f t="shared" si="2"/>
        <v>PP</v>
      </c>
      <c r="D5" t="str">
        <f t="shared" si="3"/>
        <v>B</v>
      </c>
      <c r="E5" s="7" t="s">
        <v>12</v>
      </c>
      <c r="F5" s="8" t="s">
        <v>559</v>
      </c>
      <c r="G5" s="7" t="s">
        <v>13</v>
      </c>
    </row>
    <row r="6" spans="1:7" x14ac:dyDescent="0.25">
      <c r="A6" t="str">
        <f t="shared" si="0"/>
        <v>A24</v>
      </c>
      <c r="B6" t="str">
        <f t="shared" si="1"/>
        <v>FT</v>
      </c>
      <c r="C6" t="str">
        <f t="shared" si="2"/>
        <v>PP</v>
      </c>
      <c r="D6" t="str">
        <f t="shared" si="3"/>
        <v>B</v>
      </c>
      <c r="E6" s="2" t="s">
        <v>18</v>
      </c>
      <c r="F6" s="3" t="s">
        <v>559</v>
      </c>
      <c r="G6" s="2" t="s">
        <v>19</v>
      </c>
    </row>
    <row r="7" spans="1:7" x14ac:dyDescent="0.25">
      <c r="A7" t="str">
        <f t="shared" si="0"/>
        <v>A24</v>
      </c>
      <c r="B7" t="str">
        <f t="shared" si="1"/>
        <v>FT</v>
      </c>
      <c r="C7" t="str">
        <f t="shared" si="2"/>
        <v>PP</v>
      </c>
      <c r="D7" t="str">
        <f t="shared" si="3"/>
        <v>B</v>
      </c>
      <c r="E7" s="9" t="s">
        <v>20</v>
      </c>
      <c r="F7" s="10" t="s">
        <v>559</v>
      </c>
      <c r="G7" s="9" t="s">
        <v>21</v>
      </c>
    </row>
    <row r="8" spans="1:7" x14ac:dyDescent="0.25">
      <c r="A8" t="str">
        <f t="shared" si="0"/>
        <v>B50</v>
      </c>
      <c r="B8" t="str">
        <f t="shared" si="1"/>
        <v>FG</v>
      </c>
      <c r="C8" t="str">
        <f t="shared" si="2"/>
        <v>PP</v>
      </c>
      <c r="D8" t="str">
        <f t="shared" si="3"/>
        <v>A</v>
      </c>
      <c r="E8" s="11" t="s">
        <v>22</v>
      </c>
      <c r="F8" s="12" t="s">
        <v>560</v>
      </c>
      <c r="G8" s="11" t="s">
        <v>23</v>
      </c>
    </row>
    <row r="9" spans="1:7" x14ac:dyDescent="0.25">
      <c r="A9" t="str">
        <f t="shared" si="0"/>
        <v>B50</v>
      </c>
      <c r="B9" t="str">
        <f t="shared" si="1"/>
        <v>FG</v>
      </c>
      <c r="C9" t="str">
        <f t="shared" si="2"/>
        <v>PP</v>
      </c>
      <c r="D9" t="str">
        <f t="shared" si="3"/>
        <v>A</v>
      </c>
      <c r="E9" t="s">
        <v>36</v>
      </c>
      <c r="F9" s="4" t="s">
        <v>560</v>
      </c>
      <c r="G9" t="s">
        <v>37</v>
      </c>
    </row>
    <row r="10" spans="1:7" x14ac:dyDescent="0.25">
      <c r="A10" t="str">
        <f t="shared" si="0"/>
        <v>B50</v>
      </c>
      <c r="B10" t="str">
        <f t="shared" si="1"/>
        <v>FG</v>
      </c>
      <c r="C10" t="str">
        <f t="shared" si="2"/>
        <v>PP</v>
      </c>
      <c r="D10" t="str">
        <f t="shared" si="3"/>
        <v>A</v>
      </c>
      <c r="E10" s="5" t="s">
        <v>34</v>
      </c>
      <c r="F10" s="6" t="s">
        <v>560</v>
      </c>
      <c r="G10" s="5" t="s">
        <v>35</v>
      </c>
    </row>
    <row r="11" spans="1:7" x14ac:dyDescent="0.25">
      <c r="A11" t="str">
        <f t="shared" si="0"/>
        <v>B50</v>
      </c>
      <c r="B11" t="str">
        <f t="shared" si="1"/>
        <v>FG</v>
      </c>
      <c r="C11" t="str">
        <f t="shared" si="2"/>
        <v>PP</v>
      </c>
      <c r="D11" t="str">
        <f t="shared" si="3"/>
        <v>B</v>
      </c>
      <c r="E11" s="7" t="s">
        <v>26</v>
      </c>
      <c r="F11" s="8" t="s">
        <v>561</v>
      </c>
      <c r="G11" s="7" t="s">
        <v>27</v>
      </c>
    </row>
    <row r="12" spans="1:7" x14ac:dyDescent="0.25">
      <c r="A12" t="str">
        <f t="shared" si="0"/>
        <v>B50</v>
      </c>
      <c r="B12" t="str">
        <f t="shared" si="1"/>
        <v>FG</v>
      </c>
      <c r="C12" t="str">
        <f t="shared" si="2"/>
        <v>PP</v>
      </c>
      <c r="D12" t="str">
        <f t="shared" si="3"/>
        <v>B</v>
      </c>
      <c r="E12" s="2" t="s">
        <v>24</v>
      </c>
      <c r="F12" s="3" t="s">
        <v>561</v>
      </c>
      <c r="G12" s="2" t="s">
        <v>25</v>
      </c>
    </row>
    <row r="13" spans="1:7" x14ac:dyDescent="0.25">
      <c r="A13" t="str">
        <f t="shared" si="0"/>
        <v>B50</v>
      </c>
      <c r="B13" t="str">
        <f t="shared" si="1"/>
        <v>FG</v>
      </c>
      <c r="C13" t="str">
        <f t="shared" si="2"/>
        <v>PP</v>
      </c>
      <c r="D13" t="str">
        <f t="shared" si="3"/>
        <v>B</v>
      </c>
      <c r="E13" s="9" t="s">
        <v>38</v>
      </c>
      <c r="F13" s="10" t="s">
        <v>561</v>
      </c>
      <c r="G13" s="9" t="s">
        <v>39</v>
      </c>
    </row>
    <row r="14" spans="1:7" x14ac:dyDescent="0.25">
      <c r="A14" t="str">
        <f t="shared" si="0"/>
        <v>B50</v>
      </c>
      <c r="B14" t="str">
        <f t="shared" si="1"/>
        <v>FT</v>
      </c>
      <c r="C14" t="str">
        <f t="shared" si="2"/>
        <v>AC</v>
      </c>
      <c r="D14" t="str">
        <f t="shared" si="3"/>
        <v>B</v>
      </c>
      <c r="E14" s="11" t="s">
        <v>28</v>
      </c>
      <c r="F14" s="12" t="s">
        <v>562</v>
      </c>
      <c r="G14" s="11" t="s">
        <v>29</v>
      </c>
    </row>
    <row r="15" spans="1:7" x14ac:dyDescent="0.25">
      <c r="A15" t="str">
        <f t="shared" si="0"/>
        <v>B50</v>
      </c>
      <c r="B15" t="str">
        <f t="shared" si="1"/>
        <v>FT</v>
      </c>
      <c r="C15" t="str">
        <f t="shared" si="2"/>
        <v>AC</v>
      </c>
      <c r="D15" t="str">
        <f t="shared" si="3"/>
        <v>B</v>
      </c>
      <c r="E15" s="9" t="s">
        <v>40</v>
      </c>
      <c r="F15" s="10" t="s">
        <v>562</v>
      </c>
      <c r="G15" s="9" t="s">
        <v>41</v>
      </c>
    </row>
    <row r="16" spans="1:7" x14ac:dyDescent="0.25">
      <c r="A16" t="str">
        <f t="shared" si="0"/>
        <v>B50</v>
      </c>
      <c r="B16" t="str">
        <f t="shared" si="1"/>
        <v>FT</v>
      </c>
      <c r="C16" t="str">
        <f t="shared" si="2"/>
        <v>PP</v>
      </c>
      <c r="D16" t="str">
        <f t="shared" si="3"/>
        <v>B</v>
      </c>
      <c r="E16" s="11" t="s">
        <v>32</v>
      </c>
      <c r="F16" s="12" t="s">
        <v>563</v>
      </c>
      <c r="G16" s="11" t="s">
        <v>33</v>
      </c>
    </row>
    <row r="17" spans="1:7" x14ac:dyDescent="0.25">
      <c r="A17" t="str">
        <f t="shared" si="0"/>
        <v>B50</v>
      </c>
      <c r="B17" t="str">
        <f t="shared" si="1"/>
        <v>FT</v>
      </c>
      <c r="C17" t="str">
        <f t="shared" si="2"/>
        <v>PP</v>
      </c>
      <c r="D17" t="str">
        <f t="shared" si="3"/>
        <v>B</v>
      </c>
      <c r="E17" t="s">
        <v>48</v>
      </c>
      <c r="F17" s="4" t="s">
        <v>563</v>
      </c>
      <c r="G17" t="s">
        <v>49</v>
      </c>
    </row>
    <row r="18" spans="1:7" x14ac:dyDescent="0.25">
      <c r="A18" t="str">
        <f t="shared" si="0"/>
        <v>B50</v>
      </c>
      <c r="B18" t="str">
        <f t="shared" si="1"/>
        <v>FT</v>
      </c>
      <c r="C18" t="str">
        <f t="shared" si="2"/>
        <v>PP</v>
      </c>
      <c r="D18" t="str">
        <f t="shared" si="3"/>
        <v>B</v>
      </c>
      <c r="E18" s="5" t="s">
        <v>46</v>
      </c>
      <c r="F18" s="6" t="s">
        <v>563</v>
      </c>
      <c r="G18" s="5" t="s">
        <v>47</v>
      </c>
    </row>
    <row r="19" spans="1:7" x14ac:dyDescent="0.25">
      <c r="A19" t="str">
        <f t="shared" si="0"/>
        <v>B50</v>
      </c>
      <c r="B19" t="str">
        <f t="shared" si="1"/>
        <v>FT</v>
      </c>
      <c r="C19" t="str">
        <f t="shared" si="2"/>
        <v>PP</v>
      </c>
      <c r="D19" t="str">
        <f t="shared" si="3"/>
        <v>A</v>
      </c>
      <c r="E19" t="s">
        <v>42</v>
      </c>
      <c r="F19" s="4" t="s">
        <v>564</v>
      </c>
      <c r="G19" t="s">
        <v>43</v>
      </c>
    </row>
    <row r="20" spans="1:7" x14ac:dyDescent="0.25">
      <c r="A20" t="str">
        <f t="shared" si="0"/>
        <v>B50</v>
      </c>
      <c r="B20" t="str">
        <f t="shared" si="1"/>
        <v>FT</v>
      </c>
      <c r="C20" t="str">
        <f t="shared" si="2"/>
        <v>PP</v>
      </c>
      <c r="D20" t="str">
        <f t="shared" si="3"/>
        <v>A</v>
      </c>
      <c r="E20" s="2" t="s">
        <v>30</v>
      </c>
      <c r="F20" s="3" t="s">
        <v>564</v>
      </c>
      <c r="G20" s="2" t="s">
        <v>31</v>
      </c>
    </row>
    <row r="21" spans="1:7" x14ac:dyDescent="0.25">
      <c r="A21" t="str">
        <f t="shared" si="0"/>
        <v>B50</v>
      </c>
      <c r="B21" t="str">
        <f t="shared" si="1"/>
        <v>FT</v>
      </c>
      <c r="C21" t="str">
        <f t="shared" si="2"/>
        <v>PP</v>
      </c>
      <c r="D21" t="str">
        <f t="shared" si="3"/>
        <v>A</v>
      </c>
      <c r="E21" t="s">
        <v>44</v>
      </c>
      <c r="F21" s="4" t="s">
        <v>564</v>
      </c>
      <c r="G21" t="s">
        <v>45</v>
      </c>
    </row>
    <row r="22" spans="1:7" x14ac:dyDescent="0.25">
      <c r="A22" t="str">
        <f t="shared" si="0"/>
        <v>B50</v>
      </c>
      <c r="B22" t="str">
        <f t="shared" si="1"/>
        <v>FT</v>
      </c>
      <c r="C22" t="str">
        <f t="shared" si="2"/>
        <v>PP</v>
      </c>
      <c r="D22" t="str">
        <f t="shared" si="3"/>
        <v>A</v>
      </c>
      <c r="E22" s="5" t="s">
        <v>52</v>
      </c>
      <c r="F22" s="6" t="s">
        <v>564</v>
      </c>
      <c r="G22" s="5" t="s">
        <v>53</v>
      </c>
    </row>
    <row r="23" spans="1:7" x14ac:dyDescent="0.25">
      <c r="A23" t="str">
        <f t="shared" si="0"/>
        <v>B50</v>
      </c>
      <c r="E23" t="s">
        <v>60</v>
      </c>
      <c r="F23" s="4" t="s">
        <v>565</v>
      </c>
      <c r="G23" t="s">
        <v>61</v>
      </c>
    </row>
    <row r="24" spans="1:7" x14ac:dyDescent="0.25">
      <c r="A24" t="str">
        <f t="shared" si="0"/>
        <v>B50</v>
      </c>
      <c r="E24" s="2" t="s">
        <v>58</v>
      </c>
      <c r="F24" s="3" t="s">
        <v>565</v>
      </c>
      <c r="G24" s="2" t="s">
        <v>59</v>
      </c>
    </row>
    <row r="25" spans="1:7" x14ac:dyDescent="0.25">
      <c r="A25" t="str">
        <f t="shared" si="0"/>
        <v>B50</v>
      </c>
      <c r="E25" t="s">
        <v>50</v>
      </c>
      <c r="F25" s="4" t="s">
        <v>565</v>
      </c>
      <c r="G25" t="s">
        <v>51</v>
      </c>
    </row>
    <row r="26" spans="1:7" x14ac:dyDescent="0.25">
      <c r="A26" t="str">
        <f t="shared" si="0"/>
        <v>B50</v>
      </c>
      <c r="E26" s="2" t="s">
        <v>54</v>
      </c>
      <c r="F26" s="3" t="s">
        <v>565</v>
      </c>
      <c r="G26" s="2" t="s">
        <v>55</v>
      </c>
    </row>
    <row r="27" spans="1:7" x14ac:dyDescent="0.25">
      <c r="A27" t="str">
        <f t="shared" si="0"/>
        <v>B50</v>
      </c>
      <c r="E27" s="9" t="s">
        <v>56</v>
      </c>
      <c r="F27" s="10" t="s">
        <v>565</v>
      </c>
      <c r="G27" s="9" t="s">
        <v>57</v>
      </c>
    </row>
    <row r="28" spans="1:7" x14ac:dyDescent="0.25">
      <c r="A28" t="str">
        <f t="shared" si="0"/>
        <v>C12</v>
      </c>
      <c r="B28" t="str">
        <f t="shared" si="1"/>
        <v>FG</v>
      </c>
      <c r="C28" t="str">
        <f t="shared" si="2"/>
        <v>AC</v>
      </c>
      <c r="D28" t="str">
        <f t="shared" si="3"/>
        <v>A</v>
      </c>
      <c r="E28" s="2" t="s">
        <v>64</v>
      </c>
      <c r="F28" s="3" t="s">
        <v>566</v>
      </c>
      <c r="G28" s="2" t="s">
        <v>65</v>
      </c>
    </row>
    <row r="29" spans="1:7" x14ac:dyDescent="0.25">
      <c r="A29" t="str">
        <f t="shared" si="0"/>
        <v>C12</v>
      </c>
      <c r="B29" t="str">
        <f t="shared" si="1"/>
        <v>FG</v>
      </c>
      <c r="C29" t="str">
        <f t="shared" si="2"/>
        <v>AC</v>
      </c>
      <c r="D29" t="str">
        <f t="shared" si="3"/>
        <v>A</v>
      </c>
      <c r="E29" t="s">
        <v>62</v>
      </c>
      <c r="F29" s="4" t="s">
        <v>566</v>
      </c>
      <c r="G29" t="s">
        <v>63</v>
      </c>
    </row>
    <row r="30" spans="1:7" x14ac:dyDescent="0.25">
      <c r="A30" t="str">
        <f t="shared" si="0"/>
        <v>C12</v>
      </c>
      <c r="B30" t="str">
        <f t="shared" si="1"/>
        <v>FG</v>
      </c>
      <c r="C30" t="str">
        <f t="shared" si="2"/>
        <v>AC</v>
      </c>
      <c r="D30" t="str">
        <f t="shared" si="3"/>
        <v>A</v>
      </c>
      <c r="E30" s="2" t="s">
        <v>86</v>
      </c>
      <c r="F30" s="3" t="s">
        <v>566</v>
      </c>
      <c r="G30" s="2" t="s">
        <v>87</v>
      </c>
    </row>
    <row r="31" spans="1:7" x14ac:dyDescent="0.25">
      <c r="A31" t="str">
        <f t="shared" si="0"/>
        <v>C12</v>
      </c>
      <c r="B31" t="str">
        <f t="shared" si="1"/>
        <v>FG</v>
      </c>
      <c r="C31" t="str">
        <f t="shared" si="2"/>
        <v>AC</v>
      </c>
      <c r="D31" t="str">
        <f t="shared" si="3"/>
        <v>A</v>
      </c>
      <c r="E31" s="9" t="s">
        <v>88</v>
      </c>
      <c r="F31" s="28" t="s">
        <v>566</v>
      </c>
      <c r="G31" s="9" t="s">
        <v>89</v>
      </c>
    </row>
    <row r="32" spans="1:7" x14ac:dyDescent="0.25">
      <c r="A32" t="str">
        <f t="shared" si="0"/>
        <v>C12</v>
      </c>
      <c r="B32" t="str">
        <f t="shared" si="1"/>
        <v>FG</v>
      </c>
      <c r="C32" t="str">
        <f t="shared" si="2"/>
        <v>PE</v>
      </c>
      <c r="D32" t="str">
        <f t="shared" si="3"/>
        <v>N</v>
      </c>
      <c r="E32" s="2" t="s">
        <v>66</v>
      </c>
      <c r="F32" s="3" t="s">
        <v>567</v>
      </c>
      <c r="G32" s="2" t="s">
        <v>67</v>
      </c>
    </row>
    <row r="33" spans="1:7" x14ac:dyDescent="0.25">
      <c r="A33" t="str">
        <f t="shared" si="0"/>
        <v>C12</v>
      </c>
      <c r="B33" t="str">
        <f t="shared" si="1"/>
        <v>FG</v>
      </c>
      <c r="C33" t="str">
        <f t="shared" si="2"/>
        <v>PE</v>
      </c>
      <c r="D33" t="str">
        <f t="shared" si="3"/>
        <v>N</v>
      </c>
      <c r="E33" t="s">
        <v>68</v>
      </c>
      <c r="F33" s="4" t="s">
        <v>567</v>
      </c>
      <c r="G33" t="s">
        <v>69</v>
      </c>
    </row>
    <row r="34" spans="1:7" x14ac:dyDescent="0.25">
      <c r="A34" t="str">
        <f t="shared" si="0"/>
        <v>C12</v>
      </c>
      <c r="B34" t="str">
        <f t="shared" si="1"/>
        <v>FG</v>
      </c>
      <c r="C34" t="str">
        <f t="shared" si="2"/>
        <v>PE</v>
      </c>
      <c r="D34" t="str">
        <f t="shared" si="3"/>
        <v>N</v>
      </c>
      <c r="E34" s="2" t="s">
        <v>70</v>
      </c>
      <c r="F34" s="3" t="s">
        <v>567</v>
      </c>
      <c r="G34" s="2" t="s">
        <v>71</v>
      </c>
    </row>
    <row r="35" spans="1:7" x14ac:dyDescent="0.25">
      <c r="A35" t="str">
        <f t="shared" si="0"/>
        <v>C12</v>
      </c>
      <c r="B35" t="str">
        <f t="shared" si="1"/>
        <v>FG</v>
      </c>
      <c r="C35" t="str">
        <f t="shared" si="2"/>
        <v>PE</v>
      </c>
      <c r="D35" t="str">
        <f t="shared" si="3"/>
        <v>N</v>
      </c>
      <c r="E35" t="s">
        <v>96</v>
      </c>
      <c r="F35" s="4" t="s">
        <v>567</v>
      </c>
      <c r="G35" t="s">
        <v>97</v>
      </c>
    </row>
    <row r="36" spans="1:7" x14ac:dyDescent="0.25">
      <c r="A36" t="str">
        <f t="shared" si="0"/>
        <v>C12</v>
      </c>
      <c r="B36" t="str">
        <f t="shared" si="1"/>
        <v>FG</v>
      </c>
      <c r="C36" t="str">
        <f t="shared" si="2"/>
        <v>PE</v>
      </c>
      <c r="D36" t="str">
        <f t="shared" si="3"/>
        <v>N</v>
      </c>
      <c r="E36" s="2" t="s">
        <v>98</v>
      </c>
      <c r="F36" s="6" t="s">
        <v>567</v>
      </c>
      <c r="G36" s="2" t="s">
        <v>91</v>
      </c>
    </row>
    <row r="37" spans="1:7" x14ac:dyDescent="0.25">
      <c r="A37" t="str">
        <f t="shared" si="0"/>
        <v>C12</v>
      </c>
      <c r="B37" t="str">
        <f t="shared" si="1"/>
        <v>FG</v>
      </c>
      <c r="C37" t="str">
        <f t="shared" si="2"/>
        <v>PE</v>
      </c>
      <c r="D37" t="str">
        <f t="shared" si="3"/>
        <v>N</v>
      </c>
      <c r="E37" s="9" t="s">
        <v>90</v>
      </c>
      <c r="F37" s="10" t="s">
        <v>567</v>
      </c>
      <c r="G37" s="9" t="s">
        <v>91</v>
      </c>
    </row>
    <row r="38" spans="1:7" x14ac:dyDescent="0.25">
      <c r="A38" t="str">
        <f t="shared" si="0"/>
        <v>C12</v>
      </c>
      <c r="B38" t="str">
        <f t="shared" si="1"/>
        <v>FT</v>
      </c>
      <c r="C38" t="str">
        <f t="shared" si="2"/>
        <v>AC</v>
      </c>
      <c r="D38" t="str">
        <f t="shared" si="3"/>
        <v>A</v>
      </c>
      <c r="E38" s="2" t="s">
        <v>72</v>
      </c>
      <c r="F38" s="3" t="s">
        <v>568</v>
      </c>
      <c r="G38" s="2" t="s">
        <v>73</v>
      </c>
    </row>
    <row r="39" spans="1:7" x14ac:dyDescent="0.25">
      <c r="A39" t="str">
        <f t="shared" si="0"/>
        <v>C12</v>
      </c>
      <c r="B39" t="str">
        <f t="shared" si="1"/>
        <v>FT</v>
      </c>
      <c r="C39" t="str">
        <f t="shared" si="2"/>
        <v>AC</v>
      </c>
      <c r="D39" t="str">
        <f t="shared" si="3"/>
        <v>A</v>
      </c>
      <c r="E39" s="5" t="s">
        <v>99</v>
      </c>
      <c r="F39" s="6" t="s">
        <v>568</v>
      </c>
      <c r="G39" s="5" t="s">
        <v>100</v>
      </c>
    </row>
    <row r="40" spans="1:7" x14ac:dyDescent="0.25">
      <c r="A40" t="str">
        <f t="shared" si="0"/>
        <v>C12</v>
      </c>
      <c r="B40" t="str">
        <f t="shared" si="1"/>
        <v>FT</v>
      </c>
      <c r="C40" t="str">
        <f t="shared" si="2"/>
        <v>PE</v>
      </c>
      <c r="D40" t="str">
        <f t="shared" si="3"/>
        <v>N</v>
      </c>
      <c r="E40" t="s">
        <v>74</v>
      </c>
      <c r="F40" s="4" t="s">
        <v>580</v>
      </c>
      <c r="G40" t="s">
        <v>75</v>
      </c>
    </row>
    <row r="41" spans="1:7" x14ac:dyDescent="0.25">
      <c r="A41" t="str">
        <f t="shared" si="0"/>
        <v>C12</v>
      </c>
      <c r="B41" t="str">
        <f t="shared" si="1"/>
        <v>FT</v>
      </c>
      <c r="C41" t="str">
        <f t="shared" si="2"/>
        <v>PE</v>
      </c>
      <c r="D41" t="str">
        <f t="shared" si="3"/>
        <v>N</v>
      </c>
      <c r="E41" s="2" t="s">
        <v>76</v>
      </c>
      <c r="F41" s="3" t="s">
        <v>580</v>
      </c>
      <c r="G41" s="2" t="s">
        <v>77</v>
      </c>
    </row>
    <row r="42" spans="1:7" x14ac:dyDescent="0.25">
      <c r="A42" t="str">
        <f t="shared" si="0"/>
        <v>C12</v>
      </c>
      <c r="B42" t="str">
        <f t="shared" si="1"/>
        <v>FT</v>
      </c>
      <c r="C42" t="str">
        <f t="shared" si="2"/>
        <v>PE</v>
      </c>
      <c r="D42" t="str">
        <f t="shared" si="3"/>
        <v>N</v>
      </c>
      <c r="E42" t="s">
        <v>78</v>
      </c>
      <c r="F42" s="4" t="s">
        <v>580</v>
      </c>
      <c r="G42" t="s">
        <v>79</v>
      </c>
    </row>
    <row r="43" spans="1:7" x14ac:dyDescent="0.25">
      <c r="A43" t="str">
        <f t="shared" si="0"/>
        <v>C12</v>
      </c>
      <c r="B43" t="str">
        <f t="shared" si="1"/>
        <v>FT</v>
      </c>
      <c r="C43" t="str">
        <f t="shared" si="2"/>
        <v>PE</v>
      </c>
      <c r="D43" t="str">
        <f t="shared" si="3"/>
        <v>N</v>
      </c>
      <c r="E43" s="2" t="s">
        <v>103</v>
      </c>
      <c r="F43" s="3" t="s">
        <v>580</v>
      </c>
      <c r="G43" s="2" t="s">
        <v>104</v>
      </c>
    </row>
    <row r="44" spans="1:7" x14ac:dyDescent="0.25">
      <c r="A44" t="str">
        <f t="shared" si="0"/>
        <v>C12</v>
      </c>
      <c r="B44" t="str">
        <f t="shared" si="1"/>
        <v>FT</v>
      </c>
      <c r="C44" t="str">
        <f t="shared" si="2"/>
        <v>PE</v>
      </c>
      <c r="D44" t="str">
        <f t="shared" si="3"/>
        <v>N</v>
      </c>
      <c r="E44" t="s">
        <v>101</v>
      </c>
      <c r="F44" s="10" t="s">
        <v>580</v>
      </c>
      <c r="G44" t="s">
        <v>102</v>
      </c>
    </row>
    <row r="45" spans="1:7" x14ac:dyDescent="0.25">
      <c r="A45" t="str">
        <f t="shared" si="0"/>
        <v>C12</v>
      </c>
      <c r="B45" t="str">
        <f t="shared" si="1"/>
        <v>FT</v>
      </c>
      <c r="C45" t="str">
        <f t="shared" si="2"/>
        <v>PE</v>
      </c>
      <c r="D45" t="str">
        <f t="shared" si="3"/>
        <v>N</v>
      </c>
      <c r="E45" s="5" t="s">
        <v>105</v>
      </c>
      <c r="F45" s="6" t="s">
        <v>580</v>
      </c>
      <c r="G45" s="5" t="s">
        <v>106</v>
      </c>
    </row>
    <row r="46" spans="1:7" x14ac:dyDescent="0.25">
      <c r="A46" t="str">
        <f t="shared" si="0"/>
        <v>C12</v>
      </c>
      <c r="B46" t="str">
        <f t="shared" si="1"/>
        <v>FG</v>
      </c>
      <c r="C46" t="str">
        <f t="shared" si="2"/>
        <v>PE</v>
      </c>
      <c r="D46" t="str">
        <f t="shared" si="3"/>
        <v>A</v>
      </c>
      <c r="E46" s="7" t="s">
        <v>94</v>
      </c>
      <c r="F46" s="10" t="s">
        <v>581</v>
      </c>
      <c r="G46" s="7" t="s">
        <v>95</v>
      </c>
    </row>
    <row r="47" spans="1:7" x14ac:dyDescent="0.25">
      <c r="A47" t="str">
        <f t="shared" si="0"/>
        <v>C12</v>
      </c>
      <c r="B47" t="str">
        <f t="shared" si="1"/>
        <v>FG</v>
      </c>
      <c r="C47" t="str">
        <f t="shared" si="2"/>
        <v>PE</v>
      </c>
      <c r="D47" t="str">
        <f t="shared" si="3"/>
        <v>A</v>
      </c>
      <c r="E47" s="5" t="s">
        <v>92</v>
      </c>
      <c r="F47" s="6" t="s">
        <v>581</v>
      </c>
      <c r="G47" s="5" t="s">
        <v>93</v>
      </c>
    </row>
    <row r="48" spans="1:7" x14ac:dyDescent="0.25">
      <c r="A48" t="str">
        <f t="shared" si="0"/>
        <v>C12</v>
      </c>
      <c r="B48" t="str">
        <f t="shared" si="1"/>
        <v>FT</v>
      </c>
      <c r="C48" t="str">
        <f t="shared" si="2"/>
        <v>PP</v>
      </c>
      <c r="D48" t="str">
        <f t="shared" si="3"/>
        <v>A</v>
      </c>
      <c r="E48" t="s">
        <v>80</v>
      </c>
      <c r="F48" s="4" t="s">
        <v>582</v>
      </c>
      <c r="G48" t="s">
        <v>81</v>
      </c>
    </row>
    <row r="49" spans="1:7" x14ac:dyDescent="0.25">
      <c r="A49" t="str">
        <f t="shared" si="0"/>
        <v>C12</v>
      </c>
      <c r="B49" t="str">
        <f t="shared" si="1"/>
        <v>FT</v>
      </c>
      <c r="C49" t="str">
        <f t="shared" si="2"/>
        <v>PP</v>
      </c>
      <c r="D49" t="str">
        <f t="shared" si="3"/>
        <v>A</v>
      </c>
      <c r="E49" s="2" t="s">
        <v>107</v>
      </c>
      <c r="F49" s="3" t="s">
        <v>582</v>
      </c>
      <c r="G49" s="2" t="s">
        <v>108</v>
      </c>
    </row>
    <row r="50" spans="1:7" x14ac:dyDescent="0.25">
      <c r="A50" t="str">
        <f t="shared" si="0"/>
        <v>C12</v>
      </c>
      <c r="B50" t="str">
        <f t="shared" si="1"/>
        <v>NT</v>
      </c>
      <c r="C50" t="str">
        <f t="shared" si="2"/>
        <v>PE</v>
      </c>
      <c r="D50" t="str">
        <f t="shared" si="3"/>
        <v>A</v>
      </c>
      <c r="E50" t="s">
        <v>82</v>
      </c>
      <c r="F50" s="4" t="s">
        <v>583</v>
      </c>
      <c r="G50" s="7" t="s">
        <v>83</v>
      </c>
    </row>
    <row r="51" spans="1:7" x14ac:dyDescent="0.25">
      <c r="A51" t="str">
        <f t="shared" si="0"/>
        <v>C12</v>
      </c>
      <c r="B51" t="str">
        <f t="shared" si="1"/>
        <v>NT</v>
      </c>
      <c r="C51" t="str">
        <f t="shared" si="2"/>
        <v>PE</v>
      </c>
      <c r="D51" t="str">
        <f t="shared" si="3"/>
        <v>A</v>
      </c>
      <c r="E51" s="2" t="s">
        <v>84</v>
      </c>
      <c r="F51" s="3" t="s">
        <v>583</v>
      </c>
      <c r="G51" s="5" t="s">
        <v>85</v>
      </c>
    </row>
    <row r="52" spans="1:7" x14ac:dyDescent="0.25">
      <c r="A52" t="str">
        <f t="shared" si="0"/>
        <v>C12</v>
      </c>
      <c r="B52" t="str">
        <f t="shared" si="1"/>
        <v>NT</v>
      </c>
      <c r="C52" t="str">
        <f t="shared" si="2"/>
        <v xml:space="preserve"> P</v>
      </c>
      <c r="D52" t="str">
        <f t="shared" si="3"/>
        <v xml:space="preserve"> </v>
      </c>
      <c r="E52" t="s">
        <v>109</v>
      </c>
      <c r="F52" s="4" t="s">
        <v>584</v>
      </c>
      <c r="G52" s="20" t="s">
        <v>110</v>
      </c>
    </row>
    <row r="53" spans="1:7" x14ac:dyDescent="0.25">
      <c r="A53" t="str">
        <f t="shared" si="0"/>
        <v>C12</v>
      </c>
      <c r="B53" t="str">
        <f t="shared" si="1"/>
        <v>NT</v>
      </c>
      <c r="C53" t="str">
        <f t="shared" si="2"/>
        <v xml:space="preserve"> P</v>
      </c>
      <c r="D53" t="str">
        <f t="shared" si="3"/>
        <v xml:space="preserve"> </v>
      </c>
      <c r="E53" s="2" t="s">
        <v>111</v>
      </c>
      <c r="F53" s="4" t="s">
        <v>584</v>
      </c>
      <c r="G53" s="2" t="s">
        <v>112</v>
      </c>
    </row>
    <row r="54" spans="1:7" x14ac:dyDescent="0.25">
      <c r="A54" t="str">
        <f t="shared" si="0"/>
        <v>E20</v>
      </c>
      <c r="B54" t="str">
        <f t="shared" si="1"/>
        <v>FG</v>
      </c>
      <c r="C54" t="str">
        <f t="shared" si="2"/>
        <v>PE</v>
      </c>
      <c r="D54" t="str">
        <f t="shared" si="3"/>
        <v>A</v>
      </c>
      <c r="E54" t="s">
        <v>121</v>
      </c>
      <c r="F54" s="4" t="s">
        <v>585</v>
      </c>
      <c r="G54" t="s">
        <v>122</v>
      </c>
    </row>
    <row r="55" spans="1:7" x14ac:dyDescent="0.25">
      <c r="A55" t="str">
        <f t="shared" si="0"/>
        <v>E20</v>
      </c>
      <c r="B55" t="str">
        <f t="shared" si="1"/>
        <v>FG</v>
      </c>
      <c r="C55" t="str">
        <f t="shared" si="2"/>
        <v>PE</v>
      </c>
      <c r="D55" t="str">
        <f t="shared" si="3"/>
        <v>A</v>
      </c>
      <c r="E55" s="5" t="s">
        <v>113</v>
      </c>
      <c r="F55" s="6" t="s">
        <v>585</v>
      </c>
      <c r="G55" s="5" t="s">
        <v>114</v>
      </c>
    </row>
    <row r="56" spans="1:7" x14ac:dyDescent="0.25">
      <c r="A56" t="str">
        <f t="shared" si="0"/>
        <v>E20</v>
      </c>
      <c r="B56" t="str">
        <f t="shared" si="1"/>
        <v>FG</v>
      </c>
      <c r="C56" t="str">
        <f t="shared" si="2"/>
        <v>PP</v>
      </c>
      <c r="D56" t="str">
        <f t="shared" si="3"/>
        <v>A</v>
      </c>
      <c r="E56" t="s">
        <v>115</v>
      </c>
      <c r="F56" s="4" t="s">
        <v>586</v>
      </c>
      <c r="G56" t="s">
        <v>116</v>
      </c>
    </row>
    <row r="57" spans="1:7" x14ac:dyDescent="0.25">
      <c r="A57" t="str">
        <f t="shared" si="0"/>
        <v>E20</v>
      </c>
      <c r="B57" t="str">
        <f t="shared" si="1"/>
        <v>FG</v>
      </c>
      <c r="C57" t="str">
        <f t="shared" si="2"/>
        <v>PP</v>
      </c>
      <c r="D57" t="str">
        <f t="shared" si="3"/>
        <v>A</v>
      </c>
      <c r="E57" s="2" t="s">
        <v>125</v>
      </c>
      <c r="F57" s="3" t="s">
        <v>586</v>
      </c>
      <c r="G57" s="2" t="s">
        <v>126</v>
      </c>
    </row>
    <row r="58" spans="1:7" x14ac:dyDescent="0.25">
      <c r="A58" t="str">
        <f t="shared" si="0"/>
        <v>E20</v>
      </c>
      <c r="B58" t="str">
        <f t="shared" si="1"/>
        <v>FG</v>
      </c>
      <c r="C58" t="str">
        <f t="shared" si="2"/>
        <v>PP</v>
      </c>
      <c r="D58" t="str">
        <f t="shared" si="3"/>
        <v>A</v>
      </c>
      <c r="E58" s="9" t="s">
        <v>123</v>
      </c>
      <c r="F58" s="10" t="s">
        <v>586</v>
      </c>
      <c r="G58" s="9" t="s">
        <v>124</v>
      </c>
    </row>
    <row r="59" spans="1:7" x14ac:dyDescent="0.25">
      <c r="A59" t="str">
        <f t="shared" si="0"/>
        <v>E20</v>
      </c>
      <c r="B59" t="str">
        <f t="shared" si="1"/>
        <v>FT</v>
      </c>
      <c r="C59" t="str">
        <f t="shared" si="2"/>
        <v>PP</v>
      </c>
      <c r="D59" t="str">
        <f t="shared" si="3"/>
        <v>A</v>
      </c>
      <c r="E59" s="2" t="s">
        <v>117</v>
      </c>
      <c r="F59" s="3" t="s">
        <v>587</v>
      </c>
      <c r="G59" s="2" t="s">
        <v>118</v>
      </c>
    </row>
    <row r="60" spans="1:7" x14ac:dyDescent="0.25">
      <c r="A60" t="str">
        <f t="shared" si="0"/>
        <v>E20</v>
      </c>
      <c r="B60" t="str">
        <f t="shared" si="1"/>
        <v>FT</v>
      </c>
      <c r="C60" t="str">
        <f t="shared" si="2"/>
        <v>PP</v>
      </c>
      <c r="D60" t="str">
        <f t="shared" si="3"/>
        <v>A</v>
      </c>
      <c r="E60" s="9" t="s">
        <v>127</v>
      </c>
      <c r="F60" s="10" t="s">
        <v>587</v>
      </c>
      <c r="G60" s="9" t="s">
        <v>128</v>
      </c>
    </row>
    <row r="61" spans="1:7" x14ac:dyDescent="0.25">
      <c r="A61" t="str">
        <f t="shared" si="0"/>
        <v>E20</v>
      </c>
      <c r="B61" t="str">
        <f t="shared" si="1"/>
        <v>RR</v>
      </c>
      <c r="C61" t="str">
        <f t="shared" si="2"/>
        <v>PP</v>
      </c>
      <c r="D61" t="str">
        <f t="shared" si="3"/>
        <v>A</v>
      </c>
      <c r="E61" s="11" t="s">
        <v>129</v>
      </c>
      <c r="F61" s="12" t="s">
        <v>588</v>
      </c>
      <c r="G61" s="11" t="s">
        <v>130</v>
      </c>
    </row>
    <row r="62" spans="1:7" x14ac:dyDescent="0.25">
      <c r="A62" t="str">
        <f t="shared" si="0"/>
        <v>E20</v>
      </c>
      <c r="B62" t="str">
        <f t="shared" si="1"/>
        <v>RR</v>
      </c>
      <c r="C62" t="str">
        <f t="shared" si="2"/>
        <v>PP</v>
      </c>
      <c r="D62" t="str">
        <f t="shared" si="3"/>
        <v>A</v>
      </c>
      <c r="E62" t="s">
        <v>119</v>
      </c>
      <c r="F62" s="8" t="s">
        <v>588</v>
      </c>
      <c r="G62" t="s">
        <v>120</v>
      </c>
    </row>
    <row r="63" spans="1:7" x14ac:dyDescent="0.25">
      <c r="A63" t="str">
        <f t="shared" si="0"/>
        <v>E20</v>
      </c>
      <c r="B63" t="str">
        <f t="shared" si="1"/>
        <v>LI</v>
      </c>
      <c r="C63" t="str">
        <f t="shared" si="2"/>
        <v xml:space="preserve">O </v>
      </c>
      <c r="D63" t="str">
        <f t="shared" si="3"/>
        <v xml:space="preserve"> </v>
      </c>
      <c r="E63" s="2" t="s">
        <v>133</v>
      </c>
      <c r="F63" s="3" t="s">
        <v>589</v>
      </c>
      <c r="G63" s="2" t="s">
        <v>134</v>
      </c>
    </row>
    <row r="64" spans="1:7" x14ac:dyDescent="0.25">
      <c r="A64" t="str">
        <f t="shared" si="0"/>
        <v>E20</v>
      </c>
      <c r="B64" t="str">
        <f t="shared" si="1"/>
        <v>LI</v>
      </c>
      <c r="C64" t="str">
        <f t="shared" si="2"/>
        <v xml:space="preserve">O </v>
      </c>
      <c r="D64" t="str">
        <f t="shared" si="3"/>
        <v xml:space="preserve"> </v>
      </c>
      <c r="E64" s="9" t="s">
        <v>131</v>
      </c>
      <c r="F64" s="10" t="s">
        <v>589</v>
      </c>
      <c r="G64" s="9" t="s">
        <v>132</v>
      </c>
    </row>
    <row r="65" spans="1:7" x14ac:dyDescent="0.25">
      <c r="A65" t="str">
        <f t="shared" si="0"/>
        <v>E30</v>
      </c>
      <c r="B65" t="str">
        <f t="shared" si="1"/>
        <v>CU</v>
      </c>
      <c r="C65" t="str">
        <f t="shared" si="2"/>
        <v>VO</v>
      </c>
      <c r="D65" t="str">
        <f t="shared" si="3"/>
        <v>P</v>
      </c>
      <c r="E65" s="2" t="s">
        <v>294</v>
      </c>
      <c r="F65" s="3" t="s">
        <v>590</v>
      </c>
      <c r="G65" s="2" t="s">
        <v>295</v>
      </c>
    </row>
    <row r="66" spans="1:7" x14ac:dyDescent="0.25">
      <c r="A66" t="str">
        <f t="shared" si="0"/>
        <v>E30</v>
      </c>
      <c r="B66" t="str">
        <f t="shared" si="1"/>
        <v>CU</v>
      </c>
      <c r="C66" t="str">
        <f t="shared" si="2"/>
        <v>VO</v>
      </c>
      <c r="D66" t="str">
        <f t="shared" si="3"/>
        <v>P</v>
      </c>
      <c r="E66" t="s">
        <v>296</v>
      </c>
      <c r="F66" s="4" t="s">
        <v>590</v>
      </c>
      <c r="G66" s="9" t="s">
        <v>297</v>
      </c>
    </row>
    <row r="67" spans="1:7" x14ac:dyDescent="0.25">
      <c r="A67" t="str">
        <f t="shared" ref="A67:A130" si="4">MID(F67,1,3)</f>
        <v>E30</v>
      </c>
      <c r="B67" t="str">
        <f t="shared" ref="B67:B130" si="5">MID(F67,5,2)</f>
        <v>FF</v>
      </c>
      <c r="C67" t="str">
        <f t="shared" ref="C67:C130" si="6">MID(F67,8,2)</f>
        <v>PP</v>
      </c>
      <c r="D67" t="str">
        <f t="shared" ref="D67:D130" si="7">MID(F67,11,1)</f>
        <v>B</v>
      </c>
      <c r="E67" s="2" t="s">
        <v>136</v>
      </c>
      <c r="F67" s="3" t="s">
        <v>591</v>
      </c>
      <c r="G67" s="21" t="s">
        <v>592</v>
      </c>
    </row>
    <row r="68" spans="1:7" x14ac:dyDescent="0.25">
      <c r="A68" t="str">
        <f t="shared" si="4"/>
        <v>E30</v>
      </c>
      <c r="B68" t="str">
        <f t="shared" si="5"/>
        <v>FF</v>
      </c>
      <c r="C68" t="str">
        <f t="shared" si="6"/>
        <v>PP</v>
      </c>
      <c r="D68" t="str">
        <f t="shared" si="7"/>
        <v>G</v>
      </c>
      <c r="E68" t="s">
        <v>135</v>
      </c>
      <c r="F68" s="4" t="s">
        <v>593</v>
      </c>
      <c r="G68" t="s">
        <v>594</v>
      </c>
    </row>
    <row r="69" spans="1:7" x14ac:dyDescent="0.25">
      <c r="A69" t="str">
        <f t="shared" si="4"/>
        <v>E30</v>
      </c>
      <c r="B69" t="str">
        <f t="shared" si="5"/>
        <v>FG</v>
      </c>
      <c r="C69" t="str">
        <f t="shared" si="6"/>
        <v>AC</v>
      </c>
      <c r="D69" t="str">
        <f t="shared" si="7"/>
        <v>A</v>
      </c>
      <c r="E69" s="2" t="s">
        <v>137</v>
      </c>
      <c r="F69" s="3" t="s">
        <v>595</v>
      </c>
      <c r="G69" s="2" t="s">
        <v>138</v>
      </c>
    </row>
    <row r="70" spans="1:7" x14ac:dyDescent="0.25">
      <c r="A70" t="str">
        <f t="shared" si="4"/>
        <v>E30</v>
      </c>
      <c r="B70" t="str">
        <f t="shared" si="5"/>
        <v>FG</v>
      </c>
      <c r="C70" t="str">
        <f t="shared" si="6"/>
        <v>AC</v>
      </c>
      <c r="D70" t="str">
        <f t="shared" si="7"/>
        <v>A</v>
      </c>
      <c r="E70" t="s">
        <v>139</v>
      </c>
      <c r="F70" s="4" t="s">
        <v>595</v>
      </c>
      <c r="G70" t="s">
        <v>140</v>
      </c>
    </row>
    <row r="71" spans="1:7" x14ac:dyDescent="0.25">
      <c r="A71" t="str">
        <f t="shared" si="4"/>
        <v>E30</v>
      </c>
      <c r="B71" t="str">
        <f t="shared" si="5"/>
        <v>FG</v>
      </c>
      <c r="C71" t="str">
        <f t="shared" si="6"/>
        <v>AC</v>
      </c>
      <c r="D71" t="str">
        <f t="shared" si="7"/>
        <v>A</v>
      </c>
      <c r="E71" s="2" t="s">
        <v>141</v>
      </c>
      <c r="F71" s="3" t="s">
        <v>595</v>
      </c>
      <c r="G71" s="2" t="s">
        <v>142</v>
      </c>
    </row>
    <row r="72" spans="1:7" x14ac:dyDescent="0.25">
      <c r="A72" t="str">
        <f t="shared" si="4"/>
        <v>E30</v>
      </c>
      <c r="B72" t="str">
        <f t="shared" si="5"/>
        <v>FG</v>
      </c>
      <c r="C72" t="str">
        <f t="shared" si="6"/>
        <v>AC</v>
      </c>
      <c r="D72" t="str">
        <f t="shared" si="7"/>
        <v>A</v>
      </c>
      <c r="E72" t="s">
        <v>223</v>
      </c>
      <c r="F72" s="4" t="s">
        <v>595</v>
      </c>
      <c r="G72" t="s">
        <v>224</v>
      </c>
    </row>
    <row r="73" spans="1:7" x14ac:dyDescent="0.25">
      <c r="A73" t="str">
        <f t="shared" si="4"/>
        <v>E30</v>
      </c>
      <c r="B73" t="str">
        <f t="shared" si="5"/>
        <v>FG</v>
      </c>
      <c r="C73" t="str">
        <f t="shared" si="6"/>
        <v>AC</v>
      </c>
      <c r="D73" t="str">
        <f t="shared" si="7"/>
        <v>A</v>
      </c>
      <c r="E73" s="2" t="s">
        <v>203</v>
      </c>
      <c r="F73" s="3" t="s">
        <v>595</v>
      </c>
      <c r="G73" s="2" t="s">
        <v>204</v>
      </c>
    </row>
    <row r="74" spans="1:7" x14ac:dyDescent="0.25">
      <c r="A74" t="str">
        <f t="shared" si="4"/>
        <v>E30</v>
      </c>
      <c r="B74" t="str">
        <f t="shared" si="5"/>
        <v>FG</v>
      </c>
      <c r="C74" t="str">
        <f t="shared" si="6"/>
        <v>AC</v>
      </c>
      <c r="D74" t="str">
        <f t="shared" si="7"/>
        <v>A</v>
      </c>
      <c r="E74" t="s">
        <v>205</v>
      </c>
      <c r="F74" s="4" t="s">
        <v>595</v>
      </c>
      <c r="G74" t="s">
        <v>206</v>
      </c>
    </row>
    <row r="75" spans="1:7" x14ac:dyDescent="0.25">
      <c r="A75" t="str">
        <f t="shared" si="4"/>
        <v>E30</v>
      </c>
      <c r="B75" t="str">
        <f t="shared" si="5"/>
        <v>FG</v>
      </c>
      <c r="C75" t="str">
        <f t="shared" si="6"/>
        <v>AC</v>
      </c>
      <c r="D75" t="str">
        <f t="shared" si="7"/>
        <v>A</v>
      </c>
      <c r="E75" s="2" t="s">
        <v>596</v>
      </c>
      <c r="F75" s="3" t="s">
        <v>595</v>
      </c>
      <c r="G75" s="2" t="s">
        <v>225</v>
      </c>
    </row>
    <row r="76" spans="1:7" x14ac:dyDescent="0.25">
      <c r="A76" t="str">
        <f t="shared" si="4"/>
        <v>E30</v>
      </c>
      <c r="B76" t="str">
        <f t="shared" si="5"/>
        <v>FG</v>
      </c>
      <c r="C76" t="str">
        <f t="shared" si="6"/>
        <v>AC</v>
      </c>
      <c r="D76" t="str">
        <f t="shared" si="7"/>
        <v>A</v>
      </c>
      <c r="E76" t="s">
        <v>207</v>
      </c>
      <c r="F76" s="4" t="s">
        <v>595</v>
      </c>
      <c r="G76" t="s">
        <v>208</v>
      </c>
    </row>
    <row r="77" spans="1:7" x14ac:dyDescent="0.25">
      <c r="A77" t="str">
        <f t="shared" si="4"/>
        <v>E30</v>
      </c>
      <c r="B77" t="str">
        <f t="shared" si="5"/>
        <v>FG</v>
      </c>
      <c r="C77" t="str">
        <f t="shared" si="6"/>
        <v>AC</v>
      </c>
      <c r="D77" t="str">
        <f t="shared" si="7"/>
        <v>A</v>
      </c>
      <c r="E77" s="2" t="s">
        <v>209</v>
      </c>
      <c r="F77" s="3" t="s">
        <v>595</v>
      </c>
      <c r="G77" s="2" t="s">
        <v>210</v>
      </c>
    </row>
    <row r="78" spans="1:7" x14ac:dyDescent="0.25">
      <c r="A78" t="str">
        <f t="shared" si="4"/>
        <v>E30</v>
      </c>
      <c r="B78" t="str">
        <f t="shared" si="5"/>
        <v>FG</v>
      </c>
      <c r="C78" t="str">
        <f t="shared" si="6"/>
        <v>AC</v>
      </c>
      <c r="D78" t="str">
        <f t="shared" si="7"/>
        <v>A</v>
      </c>
      <c r="E78" s="9" t="s">
        <v>226</v>
      </c>
      <c r="F78" s="10" t="s">
        <v>595</v>
      </c>
      <c r="G78" s="9" t="s">
        <v>227</v>
      </c>
    </row>
    <row r="79" spans="1:7" x14ac:dyDescent="0.25">
      <c r="A79" t="str">
        <f t="shared" si="4"/>
        <v>E30</v>
      </c>
      <c r="B79" t="str">
        <f t="shared" si="5"/>
        <v>FG</v>
      </c>
      <c r="C79" t="str">
        <f t="shared" si="6"/>
        <v>PE</v>
      </c>
      <c r="D79" t="str">
        <f t="shared" si="7"/>
        <v>N</v>
      </c>
      <c r="E79" s="2" t="s">
        <v>143</v>
      </c>
      <c r="F79" s="3" t="s">
        <v>597</v>
      </c>
      <c r="G79" s="2" t="s">
        <v>144</v>
      </c>
    </row>
    <row r="80" spans="1:7" x14ac:dyDescent="0.25">
      <c r="A80" t="str">
        <f t="shared" si="4"/>
        <v>E30</v>
      </c>
      <c r="B80" t="str">
        <f t="shared" si="5"/>
        <v>FG</v>
      </c>
      <c r="C80" t="str">
        <f t="shared" si="6"/>
        <v>PE</v>
      </c>
      <c r="D80" t="str">
        <f t="shared" si="7"/>
        <v>N</v>
      </c>
      <c r="E80" t="s">
        <v>145</v>
      </c>
      <c r="F80" s="4" t="s">
        <v>597</v>
      </c>
      <c r="G80" t="s">
        <v>146</v>
      </c>
    </row>
    <row r="81" spans="1:7" x14ac:dyDescent="0.25">
      <c r="A81" t="str">
        <f t="shared" si="4"/>
        <v>E30</v>
      </c>
      <c r="B81" t="str">
        <f t="shared" si="5"/>
        <v>FG</v>
      </c>
      <c r="C81" t="str">
        <f t="shared" si="6"/>
        <v>PE</v>
      </c>
      <c r="D81" t="str">
        <f t="shared" si="7"/>
        <v>N</v>
      </c>
      <c r="E81" s="2" t="s">
        <v>228</v>
      </c>
      <c r="F81" s="3" t="s">
        <v>597</v>
      </c>
      <c r="G81" s="2" t="s">
        <v>229</v>
      </c>
    </row>
    <row r="82" spans="1:7" x14ac:dyDescent="0.25">
      <c r="A82" t="str">
        <f t="shared" si="4"/>
        <v>E30</v>
      </c>
      <c r="B82" t="str">
        <f t="shared" si="5"/>
        <v>FG</v>
      </c>
      <c r="C82" t="str">
        <f t="shared" si="6"/>
        <v>PE</v>
      </c>
      <c r="D82" t="str">
        <f t="shared" si="7"/>
        <v>N</v>
      </c>
      <c r="E82" t="s">
        <v>230</v>
      </c>
      <c r="F82" s="4" t="s">
        <v>597</v>
      </c>
      <c r="G82" t="s">
        <v>231</v>
      </c>
    </row>
    <row r="83" spans="1:7" x14ac:dyDescent="0.25">
      <c r="A83" t="str">
        <f t="shared" si="4"/>
        <v>E30</v>
      </c>
      <c r="B83" t="str">
        <f t="shared" si="5"/>
        <v>FG</v>
      </c>
      <c r="C83" t="str">
        <f t="shared" si="6"/>
        <v>PE</v>
      </c>
      <c r="D83" t="str">
        <f t="shared" si="7"/>
        <v>N</v>
      </c>
      <c r="E83" s="2" t="s">
        <v>232</v>
      </c>
      <c r="F83" s="3" t="s">
        <v>597</v>
      </c>
      <c r="G83" s="2" t="s">
        <v>233</v>
      </c>
    </row>
    <row r="84" spans="1:7" x14ac:dyDescent="0.25">
      <c r="A84" t="str">
        <f t="shared" si="4"/>
        <v>E30</v>
      </c>
      <c r="B84" t="str">
        <f t="shared" si="5"/>
        <v>FG</v>
      </c>
      <c r="C84" t="str">
        <f t="shared" si="6"/>
        <v>PE</v>
      </c>
      <c r="D84" t="str">
        <f t="shared" si="7"/>
        <v>N</v>
      </c>
      <c r="E84" t="s">
        <v>234</v>
      </c>
      <c r="F84" s="4" t="s">
        <v>597</v>
      </c>
      <c r="G84" t="s">
        <v>235</v>
      </c>
    </row>
    <row r="85" spans="1:7" x14ac:dyDescent="0.25">
      <c r="A85" t="str">
        <f t="shared" si="4"/>
        <v>E30</v>
      </c>
      <c r="B85" t="str">
        <f t="shared" si="5"/>
        <v>FG</v>
      </c>
      <c r="C85" t="str">
        <f t="shared" si="6"/>
        <v>PE</v>
      </c>
      <c r="D85" t="str">
        <f t="shared" si="7"/>
        <v>N</v>
      </c>
      <c r="E85" s="5" t="s">
        <v>236</v>
      </c>
      <c r="F85" s="6" t="s">
        <v>597</v>
      </c>
      <c r="G85" s="5" t="s">
        <v>237</v>
      </c>
    </row>
    <row r="86" spans="1:7" x14ac:dyDescent="0.25">
      <c r="A86" t="str">
        <f t="shared" si="4"/>
        <v>E30</v>
      </c>
      <c r="B86" t="str">
        <f t="shared" si="5"/>
        <v>FG</v>
      </c>
      <c r="C86" t="str">
        <f t="shared" si="6"/>
        <v>PP</v>
      </c>
      <c r="D86" t="str">
        <f t="shared" si="7"/>
        <v>A</v>
      </c>
      <c r="E86" t="s">
        <v>147</v>
      </c>
      <c r="F86" s="4" t="s">
        <v>598</v>
      </c>
      <c r="G86" t="s">
        <v>148</v>
      </c>
    </row>
    <row r="87" spans="1:7" x14ac:dyDescent="0.25">
      <c r="A87" t="str">
        <f t="shared" si="4"/>
        <v>E30</v>
      </c>
      <c r="B87" t="str">
        <f t="shared" si="5"/>
        <v>FG</v>
      </c>
      <c r="C87" t="str">
        <f t="shared" si="6"/>
        <v>PP</v>
      </c>
      <c r="D87" t="str">
        <f t="shared" si="7"/>
        <v>A</v>
      </c>
      <c r="E87" s="2" t="s">
        <v>149</v>
      </c>
      <c r="F87" s="3" t="s">
        <v>598</v>
      </c>
      <c r="G87" s="2" t="s">
        <v>150</v>
      </c>
    </row>
    <row r="88" spans="1:7" x14ac:dyDescent="0.25">
      <c r="A88" t="str">
        <f t="shared" si="4"/>
        <v>E30</v>
      </c>
      <c r="B88" t="str">
        <f t="shared" si="5"/>
        <v>FG</v>
      </c>
      <c r="C88" t="str">
        <f t="shared" si="6"/>
        <v>PP</v>
      </c>
      <c r="D88" t="str">
        <f t="shared" si="7"/>
        <v>A</v>
      </c>
      <c r="E88" t="s">
        <v>151</v>
      </c>
      <c r="F88" s="4" t="s">
        <v>598</v>
      </c>
      <c r="G88" t="s">
        <v>152</v>
      </c>
    </row>
    <row r="89" spans="1:7" x14ac:dyDescent="0.25">
      <c r="A89" t="str">
        <f t="shared" si="4"/>
        <v>E30</v>
      </c>
      <c r="B89" t="str">
        <f t="shared" si="5"/>
        <v>FG</v>
      </c>
      <c r="C89" t="str">
        <f t="shared" si="6"/>
        <v>PP</v>
      </c>
      <c r="D89" t="str">
        <f t="shared" si="7"/>
        <v>A</v>
      </c>
      <c r="E89" s="2" t="s">
        <v>153</v>
      </c>
      <c r="F89" s="3" t="s">
        <v>598</v>
      </c>
      <c r="G89" s="2" t="s">
        <v>154</v>
      </c>
    </row>
    <row r="90" spans="1:7" x14ac:dyDescent="0.25">
      <c r="A90" t="str">
        <f t="shared" si="4"/>
        <v>E30</v>
      </c>
      <c r="B90" t="str">
        <f t="shared" si="5"/>
        <v>FG</v>
      </c>
      <c r="C90" t="str">
        <f t="shared" si="6"/>
        <v>PP</v>
      </c>
      <c r="D90" t="str">
        <f t="shared" si="7"/>
        <v>A</v>
      </c>
      <c r="E90" t="s">
        <v>155</v>
      </c>
      <c r="F90" s="4" t="s">
        <v>598</v>
      </c>
      <c r="G90" t="s">
        <v>156</v>
      </c>
    </row>
    <row r="91" spans="1:7" x14ac:dyDescent="0.25">
      <c r="A91" t="str">
        <f t="shared" si="4"/>
        <v>E30</v>
      </c>
      <c r="B91" t="str">
        <f t="shared" si="5"/>
        <v>FG</v>
      </c>
      <c r="C91" t="str">
        <f t="shared" si="6"/>
        <v>PP</v>
      </c>
      <c r="D91" t="str">
        <f t="shared" si="7"/>
        <v>A</v>
      </c>
      <c r="E91" s="2" t="s">
        <v>157</v>
      </c>
      <c r="F91" s="3" t="s">
        <v>598</v>
      </c>
      <c r="G91" s="2" t="s">
        <v>158</v>
      </c>
    </row>
    <row r="92" spans="1:7" x14ac:dyDescent="0.25">
      <c r="A92" t="str">
        <f t="shared" si="4"/>
        <v>E30</v>
      </c>
      <c r="B92" t="str">
        <f t="shared" si="5"/>
        <v>FG</v>
      </c>
      <c r="C92" t="str">
        <f t="shared" si="6"/>
        <v>PP</v>
      </c>
      <c r="D92" t="str">
        <f t="shared" si="7"/>
        <v>A</v>
      </c>
      <c r="E92" t="s">
        <v>238</v>
      </c>
      <c r="F92" s="4" t="s">
        <v>598</v>
      </c>
      <c r="G92" t="s">
        <v>239</v>
      </c>
    </row>
    <row r="93" spans="1:7" x14ac:dyDescent="0.25">
      <c r="A93" t="str">
        <f t="shared" si="4"/>
        <v>E30</v>
      </c>
      <c r="B93" t="str">
        <f t="shared" si="5"/>
        <v>FG</v>
      </c>
      <c r="C93" t="str">
        <f t="shared" si="6"/>
        <v>PP</v>
      </c>
      <c r="D93" t="str">
        <f t="shared" si="7"/>
        <v>A</v>
      </c>
      <c r="E93" s="2" t="s">
        <v>211</v>
      </c>
      <c r="F93" s="3" t="s">
        <v>598</v>
      </c>
      <c r="G93" s="2" t="s">
        <v>212</v>
      </c>
    </row>
    <row r="94" spans="1:7" x14ac:dyDescent="0.25">
      <c r="A94" t="str">
        <f t="shared" si="4"/>
        <v>E30</v>
      </c>
      <c r="B94" t="str">
        <f t="shared" si="5"/>
        <v>FG</v>
      </c>
      <c r="C94" t="str">
        <f t="shared" si="6"/>
        <v>PP</v>
      </c>
      <c r="D94" t="str">
        <f t="shared" si="7"/>
        <v>A</v>
      </c>
      <c r="E94" t="s">
        <v>599</v>
      </c>
      <c r="F94" s="4" t="s">
        <v>598</v>
      </c>
      <c r="G94" t="s">
        <v>212</v>
      </c>
    </row>
    <row r="95" spans="1:7" x14ac:dyDescent="0.25">
      <c r="A95" t="str">
        <f t="shared" si="4"/>
        <v>E30</v>
      </c>
      <c r="B95" t="str">
        <f t="shared" si="5"/>
        <v>FG</v>
      </c>
      <c r="C95" t="str">
        <f t="shared" si="6"/>
        <v>PP</v>
      </c>
      <c r="D95" t="str">
        <f t="shared" si="7"/>
        <v>A</v>
      </c>
      <c r="E95" s="2" t="s">
        <v>240</v>
      </c>
      <c r="F95" s="3" t="s">
        <v>598</v>
      </c>
      <c r="G95" s="2" t="s">
        <v>241</v>
      </c>
    </row>
    <row r="96" spans="1:7" x14ac:dyDescent="0.25">
      <c r="A96" t="str">
        <f t="shared" si="4"/>
        <v>E30</v>
      </c>
      <c r="B96" t="str">
        <f t="shared" si="5"/>
        <v>FG</v>
      </c>
      <c r="C96" t="str">
        <f t="shared" si="6"/>
        <v>PP</v>
      </c>
      <c r="D96" t="str">
        <f t="shared" si="7"/>
        <v>A</v>
      </c>
      <c r="E96" t="s">
        <v>213</v>
      </c>
      <c r="F96" s="4" t="s">
        <v>598</v>
      </c>
      <c r="G96" t="s">
        <v>214</v>
      </c>
    </row>
    <row r="97" spans="1:7" x14ac:dyDescent="0.25">
      <c r="A97" t="str">
        <f t="shared" si="4"/>
        <v>E30</v>
      </c>
      <c r="B97" t="str">
        <f t="shared" si="5"/>
        <v>FG</v>
      </c>
      <c r="C97" t="str">
        <f t="shared" si="6"/>
        <v>PP</v>
      </c>
      <c r="D97" t="str">
        <f t="shared" si="7"/>
        <v>A</v>
      </c>
      <c r="E97" s="2" t="s">
        <v>600</v>
      </c>
      <c r="F97" s="3" t="s">
        <v>598</v>
      </c>
      <c r="G97" s="2" t="s">
        <v>214</v>
      </c>
    </row>
    <row r="98" spans="1:7" x14ac:dyDescent="0.25">
      <c r="A98" t="str">
        <f t="shared" si="4"/>
        <v>E30</v>
      </c>
      <c r="B98" t="str">
        <f t="shared" si="5"/>
        <v>FG</v>
      </c>
      <c r="C98" t="str">
        <f t="shared" si="6"/>
        <v>PP</v>
      </c>
      <c r="D98" t="str">
        <f t="shared" si="7"/>
        <v>A</v>
      </c>
      <c r="E98" t="s">
        <v>215</v>
      </c>
      <c r="F98" s="4" t="s">
        <v>598</v>
      </c>
      <c r="G98" t="s">
        <v>216</v>
      </c>
    </row>
    <row r="99" spans="1:7" x14ac:dyDescent="0.25">
      <c r="A99" t="str">
        <f t="shared" si="4"/>
        <v>E30</v>
      </c>
      <c r="B99" t="str">
        <f t="shared" si="5"/>
        <v>FG</v>
      </c>
      <c r="C99" t="str">
        <f t="shared" si="6"/>
        <v>PP</v>
      </c>
      <c r="D99" t="str">
        <f t="shared" si="7"/>
        <v>A</v>
      </c>
      <c r="E99" s="5" t="s">
        <v>242</v>
      </c>
      <c r="F99" s="6" t="s">
        <v>598</v>
      </c>
      <c r="G99" s="5" t="s">
        <v>243</v>
      </c>
    </row>
    <row r="100" spans="1:7" x14ac:dyDescent="0.25">
      <c r="A100" t="str">
        <f t="shared" si="4"/>
        <v>E30</v>
      </c>
      <c r="B100" t="str">
        <f t="shared" si="5"/>
        <v>FG</v>
      </c>
      <c r="C100" t="str">
        <f t="shared" si="6"/>
        <v>PP</v>
      </c>
      <c r="D100" t="str">
        <f t="shared" si="7"/>
        <v>B</v>
      </c>
      <c r="E100" t="s">
        <v>159</v>
      </c>
      <c r="F100" s="4" t="s">
        <v>601</v>
      </c>
      <c r="G100" t="s">
        <v>160</v>
      </c>
    </row>
    <row r="101" spans="1:7" x14ac:dyDescent="0.25">
      <c r="A101" t="str">
        <f t="shared" si="4"/>
        <v>E30</v>
      </c>
      <c r="B101" t="str">
        <f t="shared" si="5"/>
        <v>FG</v>
      </c>
      <c r="C101" t="str">
        <f t="shared" si="6"/>
        <v>PP</v>
      </c>
      <c r="D101" t="str">
        <f t="shared" si="7"/>
        <v>B</v>
      </c>
      <c r="E101" s="2" t="s">
        <v>161</v>
      </c>
      <c r="F101" s="3" t="s">
        <v>601</v>
      </c>
      <c r="G101" s="2" t="s">
        <v>162</v>
      </c>
    </row>
    <row r="102" spans="1:7" x14ac:dyDescent="0.25">
      <c r="A102" t="str">
        <f t="shared" si="4"/>
        <v>E30</v>
      </c>
      <c r="B102" t="str">
        <f t="shared" si="5"/>
        <v>FG</v>
      </c>
      <c r="C102" t="str">
        <f t="shared" si="6"/>
        <v>PP</v>
      </c>
      <c r="D102" t="str">
        <f t="shared" si="7"/>
        <v>B</v>
      </c>
      <c r="E102" t="s">
        <v>163</v>
      </c>
      <c r="F102" s="4" t="s">
        <v>601</v>
      </c>
      <c r="G102" t="s">
        <v>164</v>
      </c>
    </row>
    <row r="103" spans="1:7" x14ac:dyDescent="0.25">
      <c r="A103" t="str">
        <f t="shared" si="4"/>
        <v>E30</v>
      </c>
      <c r="B103" t="str">
        <f t="shared" si="5"/>
        <v>FG</v>
      </c>
      <c r="C103" t="str">
        <f t="shared" si="6"/>
        <v>PP</v>
      </c>
      <c r="D103" t="str">
        <f t="shared" si="7"/>
        <v>B</v>
      </c>
      <c r="E103" s="2" t="s">
        <v>165</v>
      </c>
      <c r="F103" s="3" t="s">
        <v>601</v>
      </c>
      <c r="G103" s="2" t="s">
        <v>166</v>
      </c>
    </row>
    <row r="104" spans="1:7" x14ac:dyDescent="0.25">
      <c r="A104" t="str">
        <f t="shared" si="4"/>
        <v>E30</v>
      </c>
      <c r="B104" t="str">
        <f t="shared" si="5"/>
        <v>FG</v>
      </c>
      <c r="C104" t="str">
        <f t="shared" si="6"/>
        <v>PP</v>
      </c>
      <c r="D104" t="str">
        <f t="shared" si="7"/>
        <v>B</v>
      </c>
      <c r="E104" t="s">
        <v>167</v>
      </c>
      <c r="F104" s="4" t="s">
        <v>601</v>
      </c>
      <c r="G104" t="s">
        <v>168</v>
      </c>
    </row>
    <row r="105" spans="1:7" x14ac:dyDescent="0.25">
      <c r="A105" t="str">
        <f t="shared" si="4"/>
        <v>E30</v>
      </c>
      <c r="B105" t="str">
        <f t="shared" si="5"/>
        <v>FG</v>
      </c>
      <c r="C105" t="str">
        <f t="shared" si="6"/>
        <v>PP</v>
      </c>
      <c r="D105" t="str">
        <f t="shared" si="7"/>
        <v>B</v>
      </c>
      <c r="E105" s="2" t="s">
        <v>169</v>
      </c>
      <c r="F105" s="3" t="s">
        <v>601</v>
      </c>
      <c r="G105" s="2" t="s">
        <v>170</v>
      </c>
    </row>
    <row r="106" spans="1:7" x14ac:dyDescent="0.25">
      <c r="A106" t="str">
        <f t="shared" si="4"/>
        <v>E30</v>
      </c>
      <c r="B106" t="str">
        <f t="shared" si="5"/>
        <v>FG</v>
      </c>
      <c r="C106" t="str">
        <f t="shared" si="6"/>
        <v>PP</v>
      </c>
      <c r="D106" t="str">
        <f t="shared" si="7"/>
        <v>B</v>
      </c>
      <c r="E106" t="s">
        <v>244</v>
      </c>
      <c r="F106" s="4" t="s">
        <v>601</v>
      </c>
      <c r="G106" t="s">
        <v>245</v>
      </c>
    </row>
    <row r="107" spans="1:7" x14ac:dyDescent="0.25">
      <c r="A107" t="str">
        <f t="shared" si="4"/>
        <v>E30</v>
      </c>
      <c r="B107" t="str">
        <f t="shared" si="5"/>
        <v>FG</v>
      </c>
      <c r="C107" t="str">
        <f t="shared" si="6"/>
        <v>PP</v>
      </c>
      <c r="D107" t="str">
        <f t="shared" si="7"/>
        <v>B</v>
      </c>
      <c r="E107" s="2" t="s">
        <v>246</v>
      </c>
      <c r="F107" s="3" t="s">
        <v>601</v>
      </c>
      <c r="G107" s="2" t="s">
        <v>247</v>
      </c>
    </row>
    <row r="108" spans="1:7" x14ac:dyDescent="0.25">
      <c r="A108" t="str">
        <f t="shared" si="4"/>
        <v>E30</v>
      </c>
      <c r="B108" t="str">
        <f t="shared" si="5"/>
        <v>FG</v>
      </c>
      <c r="C108" t="str">
        <f t="shared" si="6"/>
        <v>PP</v>
      </c>
      <c r="D108" t="str">
        <f t="shared" si="7"/>
        <v>B</v>
      </c>
      <c r="E108" t="s">
        <v>602</v>
      </c>
      <c r="F108" s="4" t="s">
        <v>601</v>
      </c>
      <c r="G108" t="s">
        <v>218</v>
      </c>
    </row>
    <row r="109" spans="1:7" x14ac:dyDescent="0.25">
      <c r="A109" t="str">
        <f t="shared" si="4"/>
        <v>E30</v>
      </c>
      <c r="B109" t="str">
        <f t="shared" si="5"/>
        <v>FG</v>
      </c>
      <c r="C109" t="str">
        <f t="shared" si="6"/>
        <v>PP</v>
      </c>
      <c r="D109" t="str">
        <f t="shared" si="7"/>
        <v>B</v>
      </c>
      <c r="E109" s="2" t="s">
        <v>217</v>
      </c>
      <c r="F109" s="3" t="s">
        <v>601</v>
      </c>
      <c r="G109" s="2" t="s">
        <v>218</v>
      </c>
    </row>
    <row r="110" spans="1:7" x14ac:dyDescent="0.25">
      <c r="A110" t="str">
        <f t="shared" si="4"/>
        <v>E30</v>
      </c>
      <c r="B110" t="str">
        <f t="shared" si="5"/>
        <v>FG</v>
      </c>
      <c r="C110" t="str">
        <f t="shared" si="6"/>
        <v>PP</v>
      </c>
      <c r="D110" t="str">
        <f t="shared" si="7"/>
        <v>B</v>
      </c>
      <c r="E110" s="22" t="s">
        <v>603</v>
      </c>
      <c r="F110" s="22" t="s">
        <v>601</v>
      </c>
      <c r="G110" s="22" t="s">
        <v>220</v>
      </c>
    </row>
    <row r="111" spans="1:7" x14ac:dyDescent="0.25">
      <c r="A111" t="str">
        <f t="shared" si="4"/>
        <v>E30</v>
      </c>
      <c r="B111" t="str">
        <f t="shared" si="5"/>
        <v>FG</v>
      </c>
      <c r="C111" t="str">
        <f t="shared" si="6"/>
        <v>PP</v>
      </c>
      <c r="D111" t="str">
        <f t="shared" si="7"/>
        <v>B</v>
      </c>
      <c r="E111" s="23" t="s">
        <v>219</v>
      </c>
      <c r="F111" s="23" t="s">
        <v>601</v>
      </c>
      <c r="G111" s="23" t="s">
        <v>220</v>
      </c>
    </row>
    <row r="112" spans="1:7" x14ac:dyDescent="0.25">
      <c r="A112" t="str">
        <f t="shared" si="4"/>
        <v>E30</v>
      </c>
      <c r="B112" t="str">
        <f t="shared" si="5"/>
        <v>FG</v>
      </c>
      <c r="C112" t="str">
        <f t="shared" si="6"/>
        <v>PP</v>
      </c>
      <c r="D112" t="str">
        <f t="shared" si="7"/>
        <v>B</v>
      </c>
      <c r="E112" t="s">
        <v>221</v>
      </c>
      <c r="F112" s="4" t="s">
        <v>601</v>
      </c>
      <c r="G112" t="s">
        <v>222</v>
      </c>
    </row>
    <row r="113" spans="1:7" x14ac:dyDescent="0.25">
      <c r="A113" t="str">
        <f t="shared" si="4"/>
        <v>E30</v>
      </c>
      <c r="B113" t="str">
        <f t="shared" si="5"/>
        <v>FG</v>
      </c>
      <c r="C113" t="str">
        <f t="shared" si="6"/>
        <v>PP</v>
      </c>
      <c r="D113" t="str">
        <f t="shared" si="7"/>
        <v>B</v>
      </c>
      <c r="E113" s="5" t="s">
        <v>248</v>
      </c>
      <c r="F113" s="6" t="s">
        <v>601</v>
      </c>
      <c r="G113" s="5" t="s">
        <v>249</v>
      </c>
    </row>
    <row r="114" spans="1:7" x14ac:dyDescent="0.25">
      <c r="A114" t="str">
        <f t="shared" si="4"/>
        <v>E30</v>
      </c>
      <c r="B114" t="str">
        <f t="shared" si="5"/>
        <v>FT</v>
      </c>
      <c r="C114" t="str">
        <f t="shared" si="6"/>
        <v>AC</v>
      </c>
      <c r="D114" t="str">
        <f t="shared" si="7"/>
        <v>A</v>
      </c>
      <c r="E114" t="s">
        <v>173</v>
      </c>
      <c r="F114" s="4" t="s">
        <v>604</v>
      </c>
      <c r="G114" t="s">
        <v>174</v>
      </c>
    </row>
    <row r="115" spans="1:7" x14ac:dyDescent="0.25">
      <c r="A115" t="str">
        <f t="shared" si="4"/>
        <v>E30</v>
      </c>
      <c r="B115" t="str">
        <f t="shared" si="5"/>
        <v>FT</v>
      </c>
      <c r="C115" t="str">
        <f t="shared" si="6"/>
        <v>AC</v>
      </c>
      <c r="D115" t="str">
        <f t="shared" si="7"/>
        <v>A</v>
      </c>
      <c r="E115" s="2" t="s">
        <v>171</v>
      </c>
      <c r="F115" s="3" t="s">
        <v>604</v>
      </c>
      <c r="G115" s="2" t="s">
        <v>172</v>
      </c>
    </row>
    <row r="116" spans="1:7" x14ac:dyDescent="0.25">
      <c r="A116" t="str">
        <f t="shared" si="4"/>
        <v>E30</v>
      </c>
      <c r="B116" t="str">
        <f t="shared" si="5"/>
        <v>FT</v>
      </c>
      <c r="C116" t="str">
        <f t="shared" si="6"/>
        <v>AC</v>
      </c>
      <c r="D116" t="str">
        <f t="shared" si="7"/>
        <v>A</v>
      </c>
      <c r="E116" t="s">
        <v>250</v>
      </c>
      <c r="F116" s="4" t="s">
        <v>604</v>
      </c>
      <c r="G116" t="s">
        <v>251</v>
      </c>
    </row>
    <row r="117" spans="1:7" x14ac:dyDescent="0.25">
      <c r="A117" t="str">
        <f t="shared" si="4"/>
        <v>E30</v>
      </c>
      <c r="B117" t="str">
        <f t="shared" si="5"/>
        <v>FT</v>
      </c>
      <c r="C117" t="str">
        <f t="shared" si="6"/>
        <v>AC</v>
      </c>
      <c r="D117" t="str">
        <f t="shared" si="7"/>
        <v>A</v>
      </c>
      <c r="E117" s="2" t="s">
        <v>278</v>
      </c>
      <c r="F117" s="3" t="s">
        <v>604</v>
      </c>
      <c r="G117" s="2" t="s">
        <v>279</v>
      </c>
    </row>
    <row r="118" spans="1:7" x14ac:dyDescent="0.25">
      <c r="A118" t="str">
        <f t="shared" si="4"/>
        <v>E30</v>
      </c>
      <c r="B118" t="str">
        <f t="shared" si="5"/>
        <v>FT</v>
      </c>
      <c r="C118" t="str">
        <f t="shared" si="6"/>
        <v>AC</v>
      </c>
      <c r="D118" t="str">
        <f t="shared" si="7"/>
        <v>A</v>
      </c>
      <c r="E118" t="s">
        <v>252</v>
      </c>
      <c r="F118" s="3" t="s">
        <v>604</v>
      </c>
      <c r="G118" t="s">
        <v>253</v>
      </c>
    </row>
    <row r="119" spans="1:7" x14ac:dyDescent="0.25">
      <c r="A119" t="str">
        <f t="shared" si="4"/>
        <v>E30</v>
      </c>
      <c r="B119" t="str">
        <f t="shared" si="5"/>
        <v>FT</v>
      </c>
      <c r="C119" t="str">
        <f t="shared" si="6"/>
        <v>AC</v>
      </c>
      <c r="D119" t="str">
        <f t="shared" si="7"/>
        <v>A</v>
      </c>
      <c r="E119" s="5" t="s">
        <v>280</v>
      </c>
      <c r="F119" s="6" t="s">
        <v>604</v>
      </c>
      <c r="G119" s="5" t="s">
        <v>281</v>
      </c>
    </row>
    <row r="120" spans="1:7" x14ac:dyDescent="0.25">
      <c r="A120" t="str">
        <f t="shared" si="4"/>
        <v>E30</v>
      </c>
      <c r="B120" t="str">
        <f t="shared" si="5"/>
        <v>FT</v>
      </c>
      <c r="C120" t="str">
        <f t="shared" si="6"/>
        <v>PP</v>
      </c>
      <c r="D120" t="str">
        <f t="shared" si="7"/>
        <v>A</v>
      </c>
      <c r="E120" t="s">
        <v>201</v>
      </c>
      <c r="F120" s="4" t="s">
        <v>605</v>
      </c>
      <c r="G120" t="s">
        <v>202</v>
      </c>
    </row>
    <row r="121" spans="1:7" x14ac:dyDescent="0.25">
      <c r="A121" t="str">
        <f t="shared" si="4"/>
        <v>E30</v>
      </c>
      <c r="B121" t="str">
        <f t="shared" si="5"/>
        <v>FT</v>
      </c>
      <c r="C121" t="str">
        <f t="shared" si="6"/>
        <v>PP</v>
      </c>
      <c r="D121" t="str">
        <f t="shared" si="7"/>
        <v>A</v>
      </c>
      <c r="E121" s="2" t="s">
        <v>175</v>
      </c>
      <c r="F121" s="3" t="s">
        <v>605</v>
      </c>
      <c r="G121" s="2" t="s">
        <v>176</v>
      </c>
    </row>
    <row r="122" spans="1:7" x14ac:dyDescent="0.25">
      <c r="A122" t="str">
        <f t="shared" si="4"/>
        <v>E30</v>
      </c>
      <c r="B122" t="str">
        <f t="shared" si="5"/>
        <v>FT</v>
      </c>
      <c r="C122" t="str">
        <f t="shared" si="6"/>
        <v>PP</v>
      </c>
      <c r="D122" t="str">
        <f t="shared" si="7"/>
        <v>A</v>
      </c>
      <c r="E122" t="s">
        <v>254</v>
      </c>
      <c r="F122" s="4" t="s">
        <v>605</v>
      </c>
      <c r="G122" t="s">
        <v>255</v>
      </c>
    </row>
    <row r="123" spans="1:7" x14ac:dyDescent="0.25">
      <c r="A123" t="str">
        <f t="shared" si="4"/>
        <v>E30</v>
      </c>
      <c r="B123" t="str">
        <f t="shared" si="5"/>
        <v>FT</v>
      </c>
      <c r="C123" t="str">
        <f t="shared" si="6"/>
        <v>PP</v>
      </c>
      <c r="D123" t="str">
        <f t="shared" si="7"/>
        <v>A</v>
      </c>
      <c r="E123" s="2" t="s">
        <v>258</v>
      </c>
      <c r="F123" s="3" t="s">
        <v>605</v>
      </c>
      <c r="G123" s="2" t="s">
        <v>259</v>
      </c>
    </row>
    <row r="124" spans="1:7" x14ac:dyDescent="0.25">
      <c r="A124" t="str">
        <f t="shared" si="4"/>
        <v>E30</v>
      </c>
      <c r="B124" t="str">
        <f t="shared" si="5"/>
        <v>FT</v>
      </c>
      <c r="C124" t="str">
        <f t="shared" si="6"/>
        <v>PP</v>
      </c>
      <c r="D124" t="str">
        <f t="shared" si="7"/>
        <v>A</v>
      </c>
      <c r="E124" t="s">
        <v>260</v>
      </c>
      <c r="F124" s="4" t="s">
        <v>605</v>
      </c>
      <c r="G124" t="s">
        <v>261</v>
      </c>
    </row>
    <row r="125" spans="1:7" x14ac:dyDescent="0.25">
      <c r="A125" t="str">
        <f t="shared" si="4"/>
        <v>E30</v>
      </c>
      <c r="B125" t="str">
        <f t="shared" si="5"/>
        <v>FT</v>
      </c>
      <c r="C125" t="str">
        <f t="shared" si="6"/>
        <v>PP</v>
      </c>
      <c r="D125" t="str">
        <f t="shared" si="7"/>
        <v>A</v>
      </c>
      <c r="E125" s="5" t="s">
        <v>262</v>
      </c>
      <c r="F125" s="6" t="s">
        <v>605</v>
      </c>
      <c r="G125" s="5" t="s">
        <v>263</v>
      </c>
    </row>
    <row r="126" spans="1:7" x14ac:dyDescent="0.25">
      <c r="A126" t="str">
        <f t="shared" si="4"/>
        <v>E30</v>
      </c>
      <c r="B126" t="str">
        <f t="shared" si="5"/>
        <v>FT</v>
      </c>
      <c r="C126" t="str">
        <f t="shared" si="6"/>
        <v>PP</v>
      </c>
      <c r="D126" t="str">
        <f t="shared" si="7"/>
        <v>B</v>
      </c>
      <c r="E126" t="s">
        <v>177</v>
      </c>
      <c r="F126" s="4" t="s">
        <v>606</v>
      </c>
      <c r="G126" t="s">
        <v>178</v>
      </c>
    </row>
    <row r="127" spans="1:7" x14ac:dyDescent="0.25">
      <c r="A127" t="str">
        <f t="shared" si="4"/>
        <v>E30</v>
      </c>
      <c r="B127" t="str">
        <f t="shared" si="5"/>
        <v>FT</v>
      </c>
      <c r="C127" t="str">
        <f t="shared" si="6"/>
        <v>PP</v>
      </c>
      <c r="D127" t="str">
        <f t="shared" si="7"/>
        <v>B</v>
      </c>
      <c r="E127" s="2" t="s">
        <v>179</v>
      </c>
      <c r="F127" s="3" t="s">
        <v>606</v>
      </c>
      <c r="G127" s="2" t="s">
        <v>180</v>
      </c>
    </row>
    <row r="128" spans="1:7" x14ac:dyDescent="0.25">
      <c r="A128" t="str">
        <f t="shared" si="4"/>
        <v>E30</v>
      </c>
      <c r="B128" t="str">
        <f t="shared" si="5"/>
        <v>FT</v>
      </c>
      <c r="C128" t="str">
        <f t="shared" si="6"/>
        <v>PP</v>
      </c>
      <c r="D128" t="str">
        <f t="shared" si="7"/>
        <v>B</v>
      </c>
      <c r="E128" t="s">
        <v>181</v>
      </c>
      <c r="F128" s="4" t="s">
        <v>606</v>
      </c>
      <c r="G128" t="s">
        <v>182</v>
      </c>
    </row>
    <row r="129" spans="1:7" x14ac:dyDescent="0.25">
      <c r="A129" t="str">
        <f t="shared" si="4"/>
        <v>E30</v>
      </c>
      <c r="B129" t="str">
        <f t="shared" si="5"/>
        <v>FT</v>
      </c>
      <c r="C129" t="str">
        <f t="shared" si="6"/>
        <v>PP</v>
      </c>
      <c r="D129" t="str">
        <f t="shared" si="7"/>
        <v>B</v>
      </c>
      <c r="E129" s="2" t="s">
        <v>183</v>
      </c>
      <c r="F129" s="3" t="s">
        <v>606</v>
      </c>
      <c r="G129" s="2" t="s">
        <v>184</v>
      </c>
    </row>
    <row r="130" spans="1:7" x14ac:dyDescent="0.25">
      <c r="A130" t="str">
        <f t="shared" si="4"/>
        <v>E30</v>
      </c>
      <c r="B130" t="str">
        <f t="shared" si="5"/>
        <v>FT</v>
      </c>
      <c r="C130" t="str">
        <f t="shared" si="6"/>
        <v>PP</v>
      </c>
      <c r="D130" t="str">
        <f t="shared" si="7"/>
        <v>B</v>
      </c>
      <c r="E130" t="s">
        <v>185</v>
      </c>
      <c r="F130" s="4" t="s">
        <v>606</v>
      </c>
      <c r="G130" t="s">
        <v>186</v>
      </c>
    </row>
    <row r="131" spans="1:7" x14ac:dyDescent="0.25">
      <c r="A131" t="str">
        <f t="shared" ref="A131:A194" si="8">MID(F131,1,3)</f>
        <v>E30</v>
      </c>
      <c r="B131" t="str">
        <f t="shared" ref="B131:B194" si="9">MID(F131,5,2)</f>
        <v>FT</v>
      </c>
      <c r="C131" t="str">
        <f t="shared" ref="C131:C194" si="10">MID(F131,8,2)</f>
        <v>PP</v>
      </c>
      <c r="D131" t="str">
        <f t="shared" ref="D131:D194" si="11">MID(F131,11,1)</f>
        <v>B</v>
      </c>
      <c r="E131" s="2" t="s">
        <v>187</v>
      </c>
      <c r="F131" s="3" t="s">
        <v>606</v>
      </c>
      <c r="G131" s="2" t="s">
        <v>188</v>
      </c>
    </row>
    <row r="132" spans="1:7" x14ac:dyDescent="0.25">
      <c r="A132" t="str">
        <f t="shared" si="8"/>
        <v>E30</v>
      </c>
      <c r="B132" t="str">
        <f t="shared" si="9"/>
        <v>FT</v>
      </c>
      <c r="C132" t="str">
        <f t="shared" si="10"/>
        <v>PP</v>
      </c>
      <c r="D132" t="str">
        <f t="shared" si="11"/>
        <v>B</v>
      </c>
      <c r="E132" t="s">
        <v>264</v>
      </c>
      <c r="F132" s="4" t="s">
        <v>606</v>
      </c>
      <c r="G132" t="s">
        <v>265</v>
      </c>
    </row>
    <row r="133" spans="1:7" x14ac:dyDescent="0.25">
      <c r="A133" t="str">
        <f t="shared" si="8"/>
        <v>E30</v>
      </c>
      <c r="B133" t="str">
        <f t="shared" si="9"/>
        <v>FT</v>
      </c>
      <c r="C133" t="str">
        <f t="shared" si="10"/>
        <v>PP</v>
      </c>
      <c r="D133" t="str">
        <f t="shared" si="11"/>
        <v>B</v>
      </c>
      <c r="E133" s="2" t="s">
        <v>256</v>
      </c>
      <c r="F133" s="3" t="s">
        <v>606</v>
      </c>
      <c r="G133" s="2" t="s">
        <v>257</v>
      </c>
    </row>
    <row r="134" spans="1:7" x14ac:dyDescent="0.25">
      <c r="A134" t="str">
        <f t="shared" si="8"/>
        <v>E30</v>
      </c>
      <c r="B134" t="str">
        <f t="shared" si="9"/>
        <v>FT</v>
      </c>
      <c r="C134" t="str">
        <f t="shared" si="10"/>
        <v>PP</v>
      </c>
      <c r="D134" t="str">
        <f t="shared" si="11"/>
        <v>B</v>
      </c>
      <c r="E134" t="s">
        <v>282</v>
      </c>
      <c r="F134" s="4" t="s">
        <v>606</v>
      </c>
      <c r="G134" t="s">
        <v>283</v>
      </c>
    </row>
    <row r="135" spans="1:7" x14ac:dyDescent="0.25">
      <c r="A135" t="str">
        <f t="shared" si="8"/>
        <v>E30</v>
      </c>
      <c r="B135" t="str">
        <f t="shared" si="9"/>
        <v>FT</v>
      </c>
      <c r="C135" t="str">
        <f t="shared" si="10"/>
        <v>PP</v>
      </c>
      <c r="D135" t="str">
        <f t="shared" si="11"/>
        <v>B</v>
      </c>
      <c r="E135" s="2" t="s">
        <v>284</v>
      </c>
      <c r="F135" s="3" t="s">
        <v>606</v>
      </c>
      <c r="G135" s="2" t="s">
        <v>285</v>
      </c>
    </row>
    <row r="136" spans="1:7" x14ac:dyDescent="0.25">
      <c r="A136" t="str">
        <f t="shared" si="8"/>
        <v>E30</v>
      </c>
      <c r="B136" t="str">
        <f t="shared" si="9"/>
        <v>FT</v>
      </c>
      <c r="C136" t="str">
        <f t="shared" si="10"/>
        <v>PP</v>
      </c>
      <c r="D136" t="str">
        <f t="shared" si="11"/>
        <v>B</v>
      </c>
      <c r="E136" t="s">
        <v>286</v>
      </c>
      <c r="F136" s="4" t="s">
        <v>606</v>
      </c>
      <c r="G136" t="s">
        <v>287</v>
      </c>
    </row>
    <row r="137" spans="1:7" x14ac:dyDescent="0.25">
      <c r="A137" t="str">
        <f t="shared" si="8"/>
        <v>E30</v>
      </c>
      <c r="B137" t="str">
        <f t="shared" si="9"/>
        <v>FT</v>
      </c>
      <c r="C137" t="str">
        <f t="shared" si="10"/>
        <v>PP</v>
      </c>
      <c r="D137" t="str">
        <f t="shared" si="11"/>
        <v>B</v>
      </c>
      <c r="E137" s="2" t="s">
        <v>288</v>
      </c>
      <c r="F137" s="3" t="s">
        <v>606</v>
      </c>
      <c r="G137" s="2" t="s">
        <v>289</v>
      </c>
    </row>
    <row r="138" spans="1:7" x14ac:dyDescent="0.25">
      <c r="A138" t="str">
        <f t="shared" si="8"/>
        <v>E30</v>
      </c>
      <c r="B138" t="str">
        <f t="shared" si="9"/>
        <v>FT</v>
      </c>
      <c r="C138" t="str">
        <f t="shared" si="10"/>
        <v>PP</v>
      </c>
      <c r="D138" t="str">
        <f t="shared" si="11"/>
        <v>B</v>
      </c>
      <c r="E138" s="9" t="s">
        <v>266</v>
      </c>
      <c r="F138" s="10" t="s">
        <v>606</v>
      </c>
      <c r="G138" s="9" t="s">
        <v>267</v>
      </c>
    </row>
    <row r="139" spans="1:7" x14ac:dyDescent="0.25">
      <c r="A139" t="str">
        <f t="shared" si="8"/>
        <v>E30</v>
      </c>
      <c r="B139" t="str">
        <f t="shared" si="9"/>
        <v>LI</v>
      </c>
      <c r="C139" t="str">
        <f t="shared" si="10"/>
        <v xml:space="preserve">O </v>
      </c>
      <c r="D139" t="str">
        <f t="shared" si="11"/>
        <v xml:space="preserve"> </v>
      </c>
      <c r="E139" s="2" t="s">
        <v>298</v>
      </c>
      <c r="F139" s="3" t="s">
        <v>607</v>
      </c>
      <c r="G139" s="2" t="s">
        <v>299</v>
      </c>
    </row>
    <row r="140" spans="1:7" x14ac:dyDescent="0.25">
      <c r="A140" t="str">
        <f t="shared" si="8"/>
        <v>E30</v>
      </c>
      <c r="B140" t="str">
        <f t="shared" si="9"/>
        <v>LI</v>
      </c>
      <c r="C140" t="str">
        <f t="shared" si="10"/>
        <v xml:space="preserve">O </v>
      </c>
      <c r="D140" t="str">
        <f t="shared" si="11"/>
        <v xml:space="preserve"> </v>
      </c>
      <c r="E140" t="s">
        <v>300</v>
      </c>
      <c r="F140" s="4" t="s">
        <v>608</v>
      </c>
      <c r="G140" t="s">
        <v>301</v>
      </c>
    </row>
    <row r="141" spans="1:7" x14ac:dyDescent="0.25">
      <c r="A141" t="str">
        <f t="shared" si="8"/>
        <v>E30</v>
      </c>
      <c r="B141" t="str">
        <f t="shared" si="9"/>
        <v>LI</v>
      </c>
      <c r="C141" t="str">
        <f t="shared" si="10"/>
        <v xml:space="preserve">O </v>
      </c>
      <c r="D141" t="str">
        <f t="shared" si="11"/>
        <v xml:space="preserve"> </v>
      </c>
      <c r="E141" s="2" t="s">
        <v>302</v>
      </c>
      <c r="F141" s="3" t="s">
        <v>609</v>
      </c>
      <c r="G141" s="2" t="s">
        <v>303</v>
      </c>
    </row>
    <row r="142" spans="1:7" x14ac:dyDescent="0.25">
      <c r="A142" t="str">
        <f t="shared" si="8"/>
        <v>E30</v>
      </c>
      <c r="B142" t="str">
        <f t="shared" si="9"/>
        <v>LI</v>
      </c>
      <c r="C142" t="str">
        <f t="shared" si="10"/>
        <v xml:space="preserve">O </v>
      </c>
      <c r="D142" t="str">
        <f t="shared" si="11"/>
        <v xml:space="preserve"> </v>
      </c>
      <c r="E142" t="s">
        <v>306</v>
      </c>
      <c r="F142" s="4" t="s">
        <v>609</v>
      </c>
      <c r="G142" t="s">
        <v>307</v>
      </c>
    </row>
    <row r="143" spans="1:7" x14ac:dyDescent="0.25">
      <c r="A143" t="str">
        <f t="shared" si="8"/>
        <v>E30</v>
      </c>
      <c r="B143" t="str">
        <f t="shared" si="9"/>
        <v>LI</v>
      </c>
      <c r="C143" t="str">
        <f t="shared" si="10"/>
        <v xml:space="preserve">O </v>
      </c>
      <c r="D143" t="str">
        <f t="shared" si="11"/>
        <v xml:space="preserve"> </v>
      </c>
      <c r="E143" s="2" t="s">
        <v>304</v>
      </c>
      <c r="F143" s="3" t="s">
        <v>610</v>
      </c>
      <c r="G143" s="2" t="s">
        <v>305</v>
      </c>
    </row>
    <row r="144" spans="1:7" x14ac:dyDescent="0.25">
      <c r="A144" t="str">
        <f t="shared" si="8"/>
        <v>E30</v>
      </c>
      <c r="B144" t="str">
        <f t="shared" si="9"/>
        <v>LI</v>
      </c>
      <c r="C144" t="str">
        <f t="shared" si="10"/>
        <v xml:space="preserve">O </v>
      </c>
      <c r="D144" t="str">
        <f t="shared" si="11"/>
        <v xml:space="preserve"> </v>
      </c>
      <c r="E144" s="9" t="s">
        <v>308</v>
      </c>
      <c r="F144" s="10" t="s">
        <v>610</v>
      </c>
      <c r="G144" s="9" t="s">
        <v>309</v>
      </c>
    </row>
    <row r="145" spans="1:7" x14ac:dyDescent="0.25">
      <c r="A145" t="str">
        <f t="shared" si="8"/>
        <v>E30</v>
      </c>
      <c r="B145" t="str">
        <f t="shared" si="9"/>
        <v>OG</v>
      </c>
      <c r="C145" t="str">
        <f t="shared" si="10"/>
        <v>PE</v>
      </c>
      <c r="D145" t="str">
        <f t="shared" si="11"/>
        <v>N</v>
      </c>
      <c r="E145" s="21" t="s">
        <v>189</v>
      </c>
      <c r="F145" s="24" t="s">
        <v>611</v>
      </c>
      <c r="G145" s="21" t="s">
        <v>190</v>
      </c>
    </row>
    <row r="146" spans="1:7" x14ac:dyDescent="0.25">
      <c r="A146" t="str">
        <f t="shared" si="8"/>
        <v>E30</v>
      </c>
      <c r="B146" t="str">
        <f t="shared" si="9"/>
        <v>OG</v>
      </c>
      <c r="C146" t="str">
        <f t="shared" si="10"/>
        <v>PP</v>
      </c>
      <c r="D146" t="str">
        <f t="shared" si="11"/>
        <v>A</v>
      </c>
      <c r="E146" s="7" t="s">
        <v>191</v>
      </c>
      <c r="F146" s="8" t="s">
        <v>612</v>
      </c>
      <c r="G146" s="7" t="s">
        <v>192</v>
      </c>
    </row>
    <row r="147" spans="1:7" x14ac:dyDescent="0.25">
      <c r="A147" t="str">
        <f t="shared" si="8"/>
        <v>E30</v>
      </c>
      <c r="B147" t="str">
        <f t="shared" si="9"/>
        <v>OG</v>
      </c>
      <c r="C147" t="str">
        <f t="shared" si="10"/>
        <v>PP</v>
      </c>
      <c r="D147" t="str">
        <f t="shared" si="11"/>
        <v>A</v>
      </c>
      <c r="E147" s="2" t="s">
        <v>268</v>
      </c>
      <c r="F147" s="3" t="s">
        <v>612</v>
      </c>
      <c r="G147" s="2" t="s">
        <v>269</v>
      </c>
    </row>
    <row r="148" spans="1:7" x14ac:dyDescent="0.25">
      <c r="A148" t="str">
        <f t="shared" si="8"/>
        <v>E30</v>
      </c>
      <c r="B148" t="str">
        <f t="shared" si="9"/>
        <v>OG</v>
      </c>
      <c r="C148" t="str">
        <f t="shared" si="10"/>
        <v>PP</v>
      </c>
      <c r="D148" t="str">
        <f t="shared" si="11"/>
        <v>A</v>
      </c>
      <c r="E148" s="9" t="s">
        <v>270</v>
      </c>
      <c r="F148" s="10" t="s">
        <v>612</v>
      </c>
      <c r="G148" s="9" t="s">
        <v>271</v>
      </c>
    </row>
    <row r="149" spans="1:7" x14ac:dyDescent="0.25">
      <c r="A149" t="str">
        <f t="shared" si="8"/>
        <v>E30</v>
      </c>
      <c r="B149" t="str">
        <f t="shared" si="9"/>
        <v>OG</v>
      </c>
      <c r="C149" t="str">
        <f t="shared" si="10"/>
        <v>PP</v>
      </c>
      <c r="D149" t="str">
        <f t="shared" si="11"/>
        <v>B</v>
      </c>
      <c r="E149" s="11" t="s">
        <v>193</v>
      </c>
      <c r="F149" s="12" t="s">
        <v>613</v>
      </c>
      <c r="G149" s="11" t="s">
        <v>194</v>
      </c>
    </row>
    <row r="150" spans="1:7" x14ac:dyDescent="0.25">
      <c r="A150" t="str">
        <f t="shared" si="8"/>
        <v>E30</v>
      </c>
      <c r="B150" t="str">
        <f t="shared" si="9"/>
        <v>OG</v>
      </c>
      <c r="C150" t="str">
        <f t="shared" si="10"/>
        <v>PP</v>
      </c>
      <c r="D150" t="str">
        <f t="shared" si="11"/>
        <v>B</v>
      </c>
      <c r="E150" t="s">
        <v>195</v>
      </c>
      <c r="F150" s="4" t="s">
        <v>613</v>
      </c>
      <c r="G150" t="s">
        <v>196</v>
      </c>
    </row>
    <row r="151" spans="1:7" x14ac:dyDescent="0.25">
      <c r="A151" t="str">
        <f t="shared" si="8"/>
        <v>E30</v>
      </c>
      <c r="B151" t="str">
        <f t="shared" si="9"/>
        <v>OG</v>
      </c>
      <c r="C151" t="str">
        <f t="shared" si="10"/>
        <v>PP</v>
      </c>
      <c r="D151" t="str">
        <f t="shared" si="11"/>
        <v>B</v>
      </c>
      <c r="E151" s="2" t="s">
        <v>272</v>
      </c>
      <c r="F151" s="3" t="s">
        <v>613</v>
      </c>
      <c r="G151" s="2" t="s">
        <v>273</v>
      </c>
    </row>
    <row r="152" spans="1:7" x14ac:dyDescent="0.25">
      <c r="A152" t="str">
        <f t="shared" si="8"/>
        <v>E30</v>
      </c>
      <c r="B152" t="str">
        <f t="shared" si="9"/>
        <v>OG</v>
      </c>
      <c r="C152" t="str">
        <f t="shared" si="10"/>
        <v>PP</v>
      </c>
      <c r="D152" t="str">
        <f t="shared" si="11"/>
        <v>B</v>
      </c>
      <c r="E152" s="9" t="s">
        <v>274</v>
      </c>
      <c r="F152" s="10" t="s">
        <v>613</v>
      </c>
      <c r="G152" s="9" t="s">
        <v>275</v>
      </c>
    </row>
    <row r="153" spans="1:7" x14ac:dyDescent="0.25">
      <c r="A153" t="str">
        <f t="shared" si="8"/>
        <v>E30</v>
      </c>
      <c r="B153" t="str">
        <f t="shared" si="9"/>
        <v>RR</v>
      </c>
      <c r="C153" t="str">
        <f t="shared" si="10"/>
        <v>PP</v>
      </c>
      <c r="D153" t="str">
        <f t="shared" si="11"/>
        <v>G</v>
      </c>
      <c r="E153" s="2" t="s">
        <v>197</v>
      </c>
      <c r="F153" s="3" t="s">
        <v>614</v>
      </c>
      <c r="G153" s="2" t="s">
        <v>198</v>
      </c>
    </row>
    <row r="154" spans="1:7" x14ac:dyDescent="0.25">
      <c r="A154" t="str">
        <f t="shared" si="8"/>
        <v>E30</v>
      </c>
      <c r="B154" t="str">
        <f t="shared" si="9"/>
        <v>RR</v>
      </c>
      <c r="C154" t="str">
        <f t="shared" si="10"/>
        <v>PP</v>
      </c>
      <c r="D154" t="str">
        <f t="shared" si="11"/>
        <v>G</v>
      </c>
      <c r="E154" s="9" t="s">
        <v>276</v>
      </c>
      <c r="F154" s="10" t="s">
        <v>614</v>
      </c>
      <c r="G154" s="9" t="s">
        <v>277</v>
      </c>
    </row>
    <row r="155" spans="1:7" x14ac:dyDescent="0.25">
      <c r="A155" t="str">
        <f t="shared" si="8"/>
        <v>E30</v>
      </c>
      <c r="B155" t="str">
        <f t="shared" si="9"/>
        <v>TF</v>
      </c>
      <c r="C155" t="str">
        <f t="shared" si="10"/>
        <v>PP</v>
      </c>
      <c r="D155" t="str">
        <f t="shared" si="11"/>
        <v>B</v>
      </c>
      <c r="E155" s="5" t="s">
        <v>199</v>
      </c>
      <c r="F155" s="6" t="s">
        <v>615</v>
      </c>
      <c r="G155" s="5" t="s">
        <v>200</v>
      </c>
    </row>
    <row r="156" spans="1:7" x14ac:dyDescent="0.25">
      <c r="A156" t="str">
        <f t="shared" si="8"/>
        <v>E40</v>
      </c>
      <c r="B156" t="str">
        <f t="shared" si="9"/>
        <v>FG</v>
      </c>
      <c r="C156" t="str">
        <f t="shared" si="10"/>
        <v>PP</v>
      </c>
      <c r="D156" t="str">
        <f t="shared" si="11"/>
        <v>G</v>
      </c>
      <c r="E156" t="s">
        <v>310</v>
      </c>
      <c r="F156" s="4" t="s">
        <v>616</v>
      </c>
      <c r="G156" t="s">
        <v>311</v>
      </c>
    </row>
    <row r="157" spans="1:7" x14ac:dyDescent="0.25">
      <c r="A157" t="str">
        <f t="shared" si="8"/>
        <v>E40</v>
      </c>
      <c r="B157" t="str">
        <f t="shared" si="9"/>
        <v>FG</v>
      </c>
      <c r="C157" t="str">
        <f t="shared" si="10"/>
        <v>PP</v>
      </c>
      <c r="D157" t="str">
        <f t="shared" si="11"/>
        <v>G</v>
      </c>
      <c r="E157" s="2" t="s">
        <v>312</v>
      </c>
      <c r="F157" s="3" t="s">
        <v>616</v>
      </c>
      <c r="G157" s="2" t="s">
        <v>313</v>
      </c>
    </row>
    <row r="158" spans="1:7" x14ac:dyDescent="0.25">
      <c r="A158" t="str">
        <f t="shared" si="8"/>
        <v>E40</v>
      </c>
      <c r="B158" t="str">
        <f t="shared" si="9"/>
        <v>LI</v>
      </c>
      <c r="C158" t="str">
        <f t="shared" si="10"/>
        <v xml:space="preserve">O </v>
      </c>
      <c r="D158" t="str">
        <f t="shared" si="11"/>
        <v xml:space="preserve"> </v>
      </c>
      <c r="E158" s="9" t="s">
        <v>314</v>
      </c>
      <c r="F158" s="10" t="s">
        <v>617</v>
      </c>
      <c r="G158" s="9" t="s">
        <v>315</v>
      </c>
    </row>
    <row r="159" spans="1:7" x14ac:dyDescent="0.25">
      <c r="A159" t="str">
        <f t="shared" si="8"/>
        <v>E41</v>
      </c>
      <c r="B159" t="str">
        <f t="shared" si="9"/>
        <v>RR</v>
      </c>
      <c r="C159" t="str">
        <f t="shared" si="10"/>
        <v>PP</v>
      </c>
      <c r="D159" t="str">
        <f t="shared" si="11"/>
        <v>G</v>
      </c>
      <c r="E159" s="2" t="s">
        <v>316</v>
      </c>
      <c r="F159" s="3" t="s">
        <v>618</v>
      </c>
      <c r="G159" s="2" t="s">
        <v>317</v>
      </c>
    </row>
    <row r="160" spans="1:7" x14ac:dyDescent="0.25">
      <c r="A160" t="str">
        <f t="shared" si="8"/>
        <v>E41</v>
      </c>
      <c r="B160" t="str">
        <f t="shared" si="9"/>
        <v>RR</v>
      </c>
      <c r="C160" t="str">
        <f t="shared" si="10"/>
        <v>PP</v>
      </c>
      <c r="D160" t="str">
        <f t="shared" si="11"/>
        <v>G</v>
      </c>
      <c r="E160" s="9" t="s">
        <v>318</v>
      </c>
      <c r="F160" s="10" t="s">
        <v>618</v>
      </c>
      <c r="G160" s="9" t="s">
        <v>319</v>
      </c>
    </row>
    <row r="161" spans="1:7" x14ac:dyDescent="0.25">
      <c r="A161" t="str">
        <f t="shared" si="8"/>
        <v>E50</v>
      </c>
      <c r="B161" t="str">
        <f t="shared" si="9"/>
        <v>CU</v>
      </c>
      <c r="C161" t="str">
        <f t="shared" si="10"/>
        <v>VO</v>
      </c>
      <c r="D161" t="str">
        <f t="shared" si="11"/>
        <v>P</v>
      </c>
      <c r="E161" s="21" t="s">
        <v>378</v>
      </c>
      <c r="F161" s="24" t="s">
        <v>619</v>
      </c>
      <c r="G161" s="21" t="s">
        <v>379</v>
      </c>
    </row>
    <row r="162" spans="1:7" x14ac:dyDescent="0.25">
      <c r="A162" t="str">
        <f t="shared" si="8"/>
        <v>E50</v>
      </c>
      <c r="B162" t="str">
        <f t="shared" si="9"/>
        <v>FG</v>
      </c>
      <c r="C162" t="str">
        <f t="shared" si="10"/>
        <v>PE</v>
      </c>
      <c r="D162" t="str">
        <f t="shared" si="11"/>
        <v>A</v>
      </c>
      <c r="E162" t="s">
        <v>320</v>
      </c>
      <c r="F162" s="4" t="s">
        <v>620</v>
      </c>
      <c r="G162" t="s">
        <v>321</v>
      </c>
    </row>
    <row r="163" spans="1:7" x14ac:dyDescent="0.25">
      <c r="A163" t="str">
        <f t="shared" si="8"/>
        <v>E50</v>
      </c>
      <c r="B163" t="str">
        <f t="shared" si="9"/>
        <v>FG</v>
      </c>
      <c r="C163" t="str">
        <f t="shared" si="10"/>
        <v>PE</v>
      </c>
      <c r="D163" t="str">
        <f t="shared" si="11"/>
        <v>A</v>
      </c>
      <c r="E163" s="2" t="s">
        <v>338</v>
      </c>
      <c r="F163" s="3" t="s">
        <v>620</v>
      </c>
      <c r="G163" s="2" t="s">
        <v>339</v>
      </c>
    </row>
    <row r="164" spans="1:7" x14ac:dyDescent="0.25">
      <c r="A164" t="str">
        <f t="shared" si="8"/>
        <v>E50</v>
      </c>
      <c r="B164" t="str">
        <f t="shared" si="9"/>
        <v>FG</v>
      </c>
      <c r="C164" t="str">
        <f t="shared" si="10"/>
        <v>PE</v>
      </c>
      <c r="D164" t="str">
        <f t="shared" si="11"/>
        <v>A</v>
      </c>
      <c r="E164" t="s">
        <v>336</v>
      </c>
      <c r="F164" s="4" t="s">
        <v>620</v>
      </c>
      <c r="G164" t="s">
        <v>337</v>
      </c>
    </row>
    <row r="165" spans="1:7" x14ac:dyDescent="0.25">
      <c r="A165" t="str">
        <f t="shared" si="8"/>
        <v>E50</v>
      </c>
      <c r="B165" t="str">
        <f t="shared" si="9"/>
        <v>FG</v>
      </c>
      <c r="C165" t="str">
        <f t="shared" si="10"/>
        <v>PE</v>
      </c>
      <c r="D165" t="str">
        <f t="shared" si="11"/>
        <v>A</v>
      </c>
      <c r="E165" s="2" t="s">
        <v>358</v>
      </c>
      <c r="F165" s="3" t="s">
        <v>620</v>
      </c>
      <c r="G165" s="2" t="s">
        <v>359</v>
      </c>
    </row>
    <row r="166" spans="1:7" x14ac:dyDescent="0.25">
      <c r="A166" t="str">
        <f t="shared" si="8"/>
        <v>E50</v>
      </c>
      <c r="B166" t="str">
        <f t="shared" si="9"/>
        <v>FG</v>
      </c>
      <c r="C166" t="str">
        <f t="shared" si="10"/>
        <v>PE</v>
      </c>
      <c r="D166" t="str">
        <f t="shared" si="11"/>
        <v>A</v>
      </c>
      <c r="E166" s="9" t="s">
        <v>356</v>
      </c>
      <c r="F166" s="10" t="s">
        <v>620</v>
      </c>
      <c r="G166" s="9" t="s">
        <v>357</v>
      </c>
    </row>
    <row r="167" spans="1:7" x14ac:dyDescent="0.25">
      <c r="A167" t="str">
        <f t="shared" si="8"/>
        <v>E50</v>
      </c>
      <c r="B167" t="str">
        <f t="shared" si="9"/>
        <v>FG</v>
      </c>
      <c r="C167" t="str">
        <f t="shared" si="10"/>
        <v>PP</v>
      </c>
      <c r="D167" t="str">
        <f t="shared" si="11"/>
        <v>A</v>
      </c>
      <c r="E167" s="11" t="s">
        <v>322</v>
      </c>
      <c r="F167" s="12" t="s">
        <v>621</v>
      </c>
      <c r="G167" s="11" t="s">
        <v>323</v>
      </c>
    </row>
    <row r="168" spans="1:7" x14ac:dyDescent="0.25">
      <c r="A168" t="str">
        <f t="shared" si="8"/>
        <v>E50</v>
      </c>
      <c r="B168" t="str">
        <f t="shared" si="9"/>
        <v>FG</v>
      </c>
      <c r="C168" t="str">
        <f t="shared" si="10"/>
        <v>PP</v>
      </c>
      <c r="D168" t="str">
        <f t="shared" si="11"/>
        <v>A</v>
      </c>
      <c r="E168" t="s">
        <v>342</v>
      </c>
      <c r="F168" s="4" t="s">
        <v>621</v>
      </c>
      <c r="G168" t="s">
        <v>343</v>
      </c>
    </row>
    <row r="169" spans="1:7" x14ac:dyDescent="0.25">
      <c r="A169" t="str">
        <f t="shared" si="8"/>
        <v>E50</v>
      </c>
      <c r="B169" t="str">
        <f t="shared" si="9"/>
        <v>FG</v>
      </c>
      <c r="C169" t="str">
        <f t="shared" si="10"/>
        <v>PP</v>
      </c>
      <c r="D169" t="str">
        <f t="shared" si="11"/>
        <v>A</v>
      </c>
      <c r="E169" s="2" t="s">
        <v>340</v>
      </c>
      <c r="F169" s="3" t="s">
        <v>621</v>
      </c>
      <c r="G169" s="2" t="s">
        <v>341</v>
      </c>
    </row>
    <row r="170" spans="1:7" x14ac:dyDescent="0.25">
      <c r="A170" t="str">
        <f t="shared" si="8"/>
        <v>E50</v>
      </c>
      <c r="B170" t="str">
        <f t="shared" si="9"/>
        <v>FG</v>
      </c>
      <c r="C170" t="str">
        <f t="shared" si="10"/>
        <v>PP</v>
      </c>
      <c r="D170" t="str">
        <f t="shared" si="11"/>
        <v>A</v>
      </c>
      <c r="E170" t="s">
        <v>362</v>
      </c>
      <c r="F170" s="4" t="s">
        <v>621</v>
      </c>
      <c r="G170" t="s">
        <v>363</v>
      </c>
    </row>
    <row r="171" spans="1:7" x14ac:dyDescent="0.25">
      <c r="A171" t="str">
        <f t="shared" si="8"/>
        <v>E50</v>
      </c>
      <c r="B171" t="str">
        <f t="shared" si="9"/>
        <v>FG</v>
      </c>
      <c r="C171" t="str">
        <f t="shared" si="10"/>
        <v>PP</v>
      </c>
      <c r="D171" t="str">
        <f t="shared" si="11"/>
        <v>A</v>
      </c>
      <c r="E171" s="5" t="s">
        <v>360</v>
      </c>
      <c r="F171" s="6" t="s">
        <v>621</v>
      </c>
      <c r="G171" s="5" t="s">
        <v>361</v>
      </c>
    </row>
    <row r="172" spans="1:7" x14ac:dyDescent="0.25">
      <c r="A172" t="str">
        <f t="shared" si="8"/>
        <v>E50</v>
      </c>
      <c r="B172" t="str">
        <f t="shared" si="9"/>
        <v>FG</v>
      </c>
      <c r="C172" t="str">
        <f t="shared" si="10"/>
        <v>PP</v>
      </c>
      <c r="D172" t="str">
        <f t="shared" si="11"/>
        <v>B</v>
      </c>
      <c r="E172" s="7" t="s">
        <v>324</v>
      </c>
      <c r="F172" s="8" t="s">
        <v>622</v>
      </c>
      <c r="G172" s="7" t="s">
        <v>325</v>
      </c>
    </row>
    <row r="173" spans="1:7" x14ac:dyDescent="0.25">
      <c r="A173" t="str">
        <f t="shared" si="8"/>
        <v>E50</v>
      </c>
      <c r="B173" t="str">
        <f t="shared" si="9"/>
        <v>FG</v>
      </c>
      <c r="C173" t="str">
        <f t="shared" si="10"/>
        <v>PP</v>
      </c>
      <c r="D173" t="str">
        <f t="shared" si="11"/>
        <v>B</v>
      </c>
      <c r="E173" s="2" t="s">
        <v>346</v>
      </c>
      <c r="F173" s="3" t="s">
        <v>622</v>
      </c>
      <c r="G173" s="2" t="s">
        <v>347</v>
      </c>
    </row>
    <row r="174" spans="1:7" x14ac:dyDescent="0.25">
      <c r="A174" t="str">
        <f t="shared" si="8"/>
        <v>E50</v>
      </c>
      <c r="B174" t="str">
        <f t="shared" si="9"/>
        <v>FG</v>
      </c>
      <c r="C174" t="str">
        <f t="shared" si="10"/>
        <v>PP</v>
      </c>
      <c r="D174" t="str">
        <f t="shared" si="11"/>
        <v>B</v>
      </c>
      <c r="E174" t="s">
        <v>344</v>
      </c>
      <c r="F174" s="4" t="s">
        <v>622</v>
      </c>
      <c r="G174" t="s">
        <v>345</v>
      </c>
    </row>
    <row r="175" spans="1:7" x14ac:dyDescent="0.25">
      <c r="A175" t="str">
        <f t="shared" si="8"/>
        <v>E50</v>
      </c>
      <c r="B175" t="str">
        <f t="shared" si="9"/>
        <v>FG</v>
      </c>
      <c r="C175" t="str">
        <f t="shared" si="10"/>
        <v>PP</v>
      </c>
      <c r="D175" t="str">
        <f t="shared" si="11"/>
        <v>B</v>
      </c>
      <c r="E175" s="2" t="s">
        <v>366</v>
      </c>
      <c r="F175" s="3" t="s">
        <v>622</v>
      </c>
      <c r="G175" s="2" t="s">
        <v>367</v>
      </c>
    </row>
    <row r="176" spans="1:7" x14ac:dyDescent="0.25">
      <c r="A176" t="str">
        <f t="shared" si="8"/>
        <v>E50</v>
      </c>
      <c r="B176" t="str">
        <f t="shared" si="9"/>
        <v>FG</v>
      </c>
      <c r="C176" t="str">
        <f t="shared" si="10"/>
        <v>PP</v>
      </c>
      <c r="D176" t="str">
        <f t="shared" si="11"/>
        <v>B</v>
      </c>
      <c r="E176" s="9" t="s">
        <v>364</v>
      </c>
      <c r="F176" s="10" t="s">
        <v>622</v>
      </c>
      <c r="G176" s="9" t="s">
        <v>365</v>
      </c>
    </row>
    <row r="177" spans="1:7" x14ac:dyDescent="0.25">
      <c r="A177" t="str">
        <f t="shared" si="8"/>
        <v>E50</v>
      </c>
      <c r="B177" t="str">
        <f t="shared" si="9"/>
        <v>FT</v>
      </c>
      <c r="C177" t="str">
        <f t="shared" si="10"/>
        <v>PP</v>
      </c>
      <c r="D177" t="str">
        <f t="shared" si="11"/>
        <v>A</v>
      </c>
      <c r="E177" s="2" t="s">
        <v>330</v>
      </c>
      <c r="F177" s="3" t="s">
        <v>623</v>
      </c>
      <c r="G177" s="2" t="s">
        <v>331</v>
      </c>
    </row>
    <row r="178" spans="1:7" x14ac:dyDescent="0.25">
      <c r="A178" t="str">
        <f t="shared" si="8"/>
        <v>E50</v>
      </c>
      <c r="B178" t="str">
        <f t="shared" si="9"/>
        <v>FT</v>
      </c>
      <c r="C178" t="str">
        <f t="shared" si="10"/>
        <v>PP</v>
      </c>
      <c r="D178" t="str">
        <f t="shared" si="11"/>
        <v>A</v>
      </c>
      <c r="E178" t="s">
        <v>328</v>
      </c>
      <c r="F178" s="4" t="s">
        <v>623</v>
      </c>
      <c r="G178" t="s">
        <v>329</v>
      </c>
    </row>
    <row r="179" spans="1:7" x14ac:dyDescent="0.25">
      <c r="A179" t="str">
        <f t="shared" si="8"/>
        <v>E50</v>
      </c>
      <c r="B179" t="str">
        <f t="shared" si="9"/>
        <v>FT</v>
      </c>
      <c r="C179" t="str">
        <f t="shared" si="10"/>
        <v>PP</v>
      </c>
      <c r="D179" t="str">
        <f t="shared" si="11"/>
        <v>A</v>
      </c>
      <c r="E179" s="2" t="s">
        <v>350</v>
      </c>
      <c r="F179" s="3" t="s">
        <v>623</v>
      </c>
      <c r="G179" s="2" t="s">
        <v>351</v>
      </c>
    </row>
    <row r="180" spans="1:7" x14ac:dyDescent="0.25">
      <c r="A180" t="str">
        <f t="shared" si="8"/>
        <v>E50</v>
      </c>
      <c r="B180" t="str">
        <f t="shared" si="9"/>
        <v>FT</v>
      </c>
      <c r="C180" t="str">
        <f t="shared" si="10"/>
        <v>PP</v>
      </c>
      <c r="D180" t="str">
        <f t="shared" si="11"/>
        <v>A</v>
      </c>
      <c r="E180" t="s">
        <v>348</v>
      </c>
      <c r="F180" s="4" t="s">
        <v>623</v>
      </c>
      <c r="G180" t="s">
        <v>349</v>
      </c>
    </row>
    <row r="181" spans="1:7" x14ac:dyDescent="0.25">
      <c r="A181" t="str">
        <f t="shared" si="8"/>
        <v>E50</v>
      </c>
      <c r="B181" t="str">
        <f t="shared" si="9"/>
        <v>FT</v>
      </c>
      <c r="C181" t="str">
        <f t="shared" si="10"/>
        <v>PP</v>
      </c>
      <c r="D181" t="str">
        <f t="shared" si="11"/>
        <v>A</v>
      </c>
      <c r="E181" s="2" t="s">
        <v>370</v>
      </c>
      <c r="F181" s="3" t="s">
        <v>623</v>
      </c>
      <c r="G181" s="2" t="s">
        <v>371</v>
      </c>
    </row>
    <row r="182" spans="1:7" x14ac:dyDescent="0.25">
      <c r="A182" t="str">
        <f t="shared" si="8"/>
        <v>E50</v>
      </c>
      <c r="B182" t="str">
        <f t="shared" si="9"/>
        <v>FT</v>
      </c>
      <c r="C182" t="str">
        <f t="shared" si="10"/>
        <v>PP</v>
      </c>
      <c r="D182" t="str">
        <f t="shared" si="11"/>
        <v>A</v>
      </c>
      <c r="E182" s="9" t="s">
        <v>368</v>
      </c>
      <c r="F182" s="10" t="s">
        <v>623</v>
      </c>
      <c r="G182" s="9" t="s">
        <v>369</v>
      </c>
    </row>
    <row r="183" spans="1:7" x14ac:dyDescent="0.25">
      <c r="A183" t="str">
        <f t="shared" si="8"/>
        <v>E50</v>
      </c>
      <c r="B183" t="str">
        <f t="shared" si="9"/>
        <v>FT</v>
      </c>
      <c r="C183" t="str">
        <f t="shared" si="10"/>
        <v>PP</v>
      </c>
      <c r="D183" t="str">
        <f t="shared" si="11"/>
        <v>/</v>
      </c>
      <c r="E183" s="2" t="s">
        <v>326</v>
      </c>
      <c r="F183" s="3" t="s">
        <v>624</v>
      </c>
      <c r="G183" s="2" t="s">
        <v>327</v>
      </c>
    </row>
    <row r="184" spans="1:7" x14ac:dyDescent="0.25">
      <c r="A184" t="str">
        <f t="shared" si="8"/>
        <v>E50</v>
      </c>
      <c r="B184" t="str">
        <f t="shared" si="9"/>
        <v>FT</v>
      </c>
      <c r="C184" t="str">
        <f t="shared" si="10"/>
        <v>PP</v>
      </c>
      <c r="D184" t="str">
        <f t="shared" si="11"/>
        <v>/</v>
      </c>
      <c r="E184" t="s">
        <v>352</v>
      </c>
      <c r="F184" s="4" t="s">
        <v>624</v>
      </c>
      <c r="G184" t="s">
        <v>353</v>
      </c>
    </row>
    <row r="185" spans="1:7" x14ac:dyDescent="0.25">
      <c r="A185" t="str">
        <f t="shared" si="8"/>
        <v>E50</v>
      </c>
      <c r="B185" t="str">
        <f t="shared" si="9"/>
        <v>FT</v>
      </c>
      <c r="C185" t="str">
        <f t="shared" si="10"/>
        <v>PP</v>
      </c>
      <c r="D185" t="str">
        <f t="shared" si="11"/>
        <v>/</v>
      </c>
      <c r="E185" s="2" t="s">
        <v>354</v>
      </c>
      <c r="F185" s="3" t="s">
        <v>624</v>
      </c>
      <c r="G185" s="2" t="s">
        <v>355</v>
      </c>
    </row>
    <row r="186" spans="1:7" x14ac:dyDescent="0.25">
      <c r="A186" t="str">
        <f t="shared" si="8"/>
        <v>E50</v>
      </c>
      <c r="B186" t="str">
        <f t="shared" si="9"/>
        <v>FT</v>
      </c>
      <c r="C186" t="str">
        <f t="shared" si="10"/>
        <v>PP</v>
      </c>
      <c r="D186" t="str">
        <f t="shared" si="11"/>
        <v>/</v>
      </c>
      <c r="E186" t="s">
        <v>372</v>
      </c>
      <c r="F186" s="4" t="s">
        <v>624</v>
      </c>
      <c r="G186" t="s">
        <v>373</v>
      </c>
    </row>
    <row r="187" spans="1:7" x14ac:dyDescent="0.25">
      <c r="A187" t="str">
        <f t="shared" si="8"/>
        <v>E50</v>
      </c>
      <c r="B187" t="str">
        <f t="shared" si="9"/>
        <v>FT</v>
      </c>
      <c r="C187" t="str">
        <f t="shared" si="10"/>
        <v>PP</v>
      </c>
      <c r="D187" t="str">
        <f t="shared" si="11"/>
        <v>/</v>
      </c>
      <c r="E187" s="5" t="s">
        <v>374</v>
      </c>
      <c r="F187" s="6" t="s">
        <v>624</v>
      </c>
      <c r="G187" s="5" t="s">
        <v>375</v>
      </c>
    </row>
    <row r="188" spans="1:7" x14ac:dyDescent="0.25">
      <c r="A188" t="str">
        <f t="shared" si="8"/>
        <v>E50</v>
      </c>
      <c r="B188" t="str">
        <f t="shared" si="9"/>
        <v>LI</v>
      </c>
      <c r="C188" t="str">
        <f t="shared" si="10"/>
        <v xml:space="preserve">O </v>
      </c>
      <c r="D188" t="str">
        <f t="shared" si="11"/>
        <v xml:space="preserve"> </v>
      </c>
      <c r="E188" t="s">
        <v>386</v>
      </c>
      <c r="F188" s="4" t="s">
        <v>625</v>
      </c>
      <c r="G188" t="s">
        <v>387</v>
      </c>
    </row>
    <row r="189" spans="1:7" x14ac:dyDescent="0.25">
      <c r="A189" t="str">
        <f t="shared" si="8"/>
        <v>E50</v>
      </c>
      <c r="B189" t="str">
        <f t="shared" si="9"/>
        <v>LI</v>
      </c>
      <c r="C189" t="str">
        <f t="shared" si="10"/>
        <v xml:space="preserve">O </v>
      </c>
      <c r="D189" t="str">
        <f t="shared" si="11"/>
        <v xml:space="preserve"> </v>
      </c>
      <c r="E189" s="2" t="s">
        <v>380</v>
      </c>
      <c r="F189" s="3" t="s">
        <v>626</v>
      </c>
      <c r="G189" s="2" t="s">
        <v>381</v>
      </c>
    </row>
    <row r="190" spans="1:7" x14ac:dyDescent="0.25">
      <c r="A190" t="str">
        <f t="shared" si="8"/>
        <v>E50</v>
      </c>
      <c r="B190" t="str">
        <f t="shared" si="9"/>
        <v>LI</v>
      </c>
      <c r="C190" t="str">
        <f t="shared" si="10"/>
        <v xml:space="preserve">O </v>
      </c>
      <c r="D190" t="str">
        <f t="shared" si="11"/>
        <v xml:space="preserve"> </v>
      </c>
      <c r="E190" t="s">
        <v>382</v>
      </c>
      <c r="F190" s="4" t="s">
        <v>627</v>
      </c>
      <c r="G190" t="s">
        <v>383</v>
      </c>
    </row>
    <row r="191" spans="1:7" x14ac:dyDescent="0.25">
      <c r="A191" t="str">
        <f t="shared" si="8"/>
        <v>E50</v>
      </c>
      <c r="B191" t="str">
        <f t="shared" si="9"/>
        <v>LI</v>
      </c>
      <c r="C191" t="str">
        <f t="shared" si="10"/>
        <v xml:space="preserve">O </v>
      </c>
      <c r="D191" t="str">
        <f t="shared" si="11"/>
        <v xml:space="preserve"> </v>
      </c>
      <c r="E191" s="2" t="s">
        <v>388</v>
      </c>
      <c r="F191" s="3" t="s">
        <v>627</v>
      </c>
      <c r="G191" s="2" t="s">
        <v>389</v>
      </c>
    </row>
    <row r="192" spans="1:7" x14ac:dyDescent="0.25">
      <c r="A192" t="str">
        <f t="shared" si="8"/>
        <v>E50</v>
      </c>
      <c r="B192" t="str">
        <f t="shared" si="9"/>
        <v>LI</v>
      </c>
      <c r="C192" t="str">
        <f t="shared" si="10"/>
        <v xml:space="preserve">O </v>
      </c>
      <c r="D192" t="str">
        <f t="shared" si="11"/>
        <v xml:space="preserve"> </v>
      </c>
      <c r="E192" s="9" t="s">
        <v>384</v>
      </c>
      <c r="F192" s="10" t="s">
        <v>627</v>
      </c>
      <c r="G192" s="9" t="s">
        <v>385</v>
      </c>
    </row>
    <row r="193" spans="1:7" x14ac:dyDescent="0.25">
      <c r="A193" t="str">
        <f t="shared" si="8"/>
        <v>E50</v>
      </c>
      <c r="B193" t="str">
        <f t="shared" si="9"/>
        <v>OG</v>
      </c>
      <c r="C193" t="str">
        <f t="shared" si="10"/>
        <v>PP</v>
      </c>
      <c r="D193" t="str">
        <f t="shared" si="11"/>
        <v>B</v>
      </c>
      <c r="E193" s="2" t="s">
        <v>332</v>
      </c>
      <c r="F193" s="3" t="s">
        <v>628</v>
      </c>
      <c r="G193" s="2" t="s">
        <v>333</v>
      </c>
    </row>
    <row r="194" spans="1:7" x14ac:dyDescent="0.25">
      <c r="A194" t="str">
        <f t="shared" si="8"/>
        <v>E50</v>
      </c>
      <c r="B194" t="str">
        <f t="shared" si="9"/>
        <v>OH</v>
      </c>
      <c r="C194" t="str">
        <f t="shared" si="10"/>
        <v>PP</v>
      </c>
      <c r="D194" t="str">
        <f t="shared" si="11"/>
        <v>B</v>
      </c>
      <c r="E194" s="9" t="s">
        <v>334</v>
      </c>
      <c r="F194" s="10" t="s">
        <v>629</v>
      </c>
      <c r="G194" s="9" t="s">
        <v>335</v>
      </c>
    </row>
    <row r="195" spans="1:7" x14ac:dyDescent="0.25">
      <c r="A195" t="str">
        <f t="shared" ref="A195:A258" si="12">MID(F195,1,3)</f>
        <v>E92</v>
      </c>
      <c r="B195" t="str">
        <f t="shared" ref="B195:B258" si="13">MID(F195,5,2)</f>
        <v xml:space="preserve"> F</v>
      </c>
      <c r="C195" t="str">
        <f t="shared" ref="C195:C258" si="14">MID(F195,8,2)</f>
        <v xml:space="preserve"> P</v>
      </c>
      <c r="D195" t="str">
        <f t="shared" ref="D195:D258" si="15">MID(F195,11,1)</f>
        <v xml:space="preserve"> </v>
      </c>
      <c r="E195" s="11" t="s">
        <v>390</v>
      </c>
      <c r="F195" s="12" t="s">
        <v>630</v>
      </c>
      <c r="G195" s="11" t="s">
        <v>391</v>
      </c>
    </row>
    <row r="196" spans="1:7" x14ac:dyDescent="0.25">
      <c r="A196" t="str">
        <f t="shared" si="12"/>
        <v>E92</v>
      </c>
      <c r="B196" t="str">
        <f t="shared" si="13"/>
        <v xml:space="preserve"> F</v>
      </c>
      <c r="C196" t="str">
        <f t="shared" si="14"/>
        <v xml:space="preserve"> P</v>
      </c>
      <c r="D196" t="str">
        <f t="shared" si="15"/>
        <v xml:space="preserve"> </v>
      </c>
      <c r="E196" t="s">
        <v>392</v>
      </c>
      <c r="F196" s="4" t="s">
        <v>630</v>
      </c>
      <c r="G196" t="s">
        <v>393</v>
      </c>
    </row>
    <row r="197" spans="1:7" x14ac:dyDescent="0.25">
      <c r="A197" t="str">
        <f t="shared" si="12"/>
        <v>E92</v>
      </c>
      <c r="B197" t="str">
        <f t="shared" si="13"/>
        <v xml:space="preserve"> F</v>
      </c>
      <c r="C197" t="str">
        <f t="shared" si="14"/>
        <v xml:space="preserve"> P</v>
      </c>
      <c r="D197" t="str">
        <f t="shared" si="15"/>
        <v xml:space="preserve"> </v>
      </c>
      <c r="E197" s="2" t="s">
        <v>398</v>
      </c>
      <c r="F197" s="3" t="s">
        <v>630</v>
      </c>
      <c r="G197" s="2" t="s">
        <v>399</v>
      </c>
    </row>
    <row r="198" spans="1:7" x14ac:dyDescent="0.25">
      <c r="A198" t="str">
        <f t="shared" si="12"/>
        <v>E92</v>
      </c>
      <c r="B198" t="str">
        <f t="shared" si="13"/>
        <v xml:space="preserve"> F</v>
      </c>
      <c r="C198" t="str">
        <f t="shared" si="14"/>
        <v xml:space="preserve"> P</v>
      </c>
      <c r="D198" t="str">
        <f t="shared" si="15"/>
        <v xml:space="preserve"> </v>
      </c>
      <c r="E198" t="s">
        <v>396</v>
      </c>
      <c r="F198" s="4" t="s">
        <v>630</v>
      </c>
      <c r="G198" t="s">
        <v>397</v>
      </c>
    </row>
    <row r="199" spans="1:7" x14ac:dyDescent="0.25">
      <c r="A199" t="str">
        <f t="shared" si="12"/>
        <v>E92</v>
      </c>
      <c r="B199" t="str">
        <f t="shared" si="13"/>
        <v xml:space="preserve"> F</v>
      </c>
      <c r="C199" t="str">
        <f t="shared" si="14"/>
        <v xml:space="preserve"> P</v>
      </c>
      <c r="D199" t="str">
        <f t="shared" si="15"/>
        <v xml:space="preserve"> </v>
      </c>
      <c r="E199" s="2" t="s">
        <v>404</v>
      </c>
      <c r="F199" s="3" t="s">
        <v>630</v>
      </c>
      <c r="G199" s="2" t="s">
        <v>405</v>
      </c>
    </row>
    <row r="200" spans="1:7" x14ac:dyDescent="0.25">
      <c r="A200" t="str">
        <f t="shared" si="12"/>
        <v>E92</v>
      </c>
      <c r="B200" t="str">
        <f t="shared" si="13"/>
        <v xml:space="preserve"> F</v>
      </c>
      <c r="C200" t="str">
        <f t="shared" si="14"/>
        <v xml:space="preserve"> P</v>
      </c>
      <c r="D200" t="str">
        <f t="shared" si="15"/>
        <v xml:space="preserve"> </v>
      </c>
      <c r="E200" s="9" t="s">
        <v>402</v>
      </c>
      <c r="F200" s="10" t="s">
        <v>630</v>
      </c>
      <c r="G200" s="9" t="s">
        <v>403</v>
      </c>
    </row>
    <row r="201" spans="1:7" x14ac:dyDescent="0.25">
      <c r="A201" t="str">
        <f t="shared" si="12"/>
        <v>E92</v>
      </c>
      <c r="B201" t="str">
        <f t="shared" si="13"/>
        <v xml:space="preserve"> F</v>
      </c>
      <c r="C201" t="str">
        <f t="shared" si="14"/>
        <v xml:space="preserve"> P</v>
      </c>
      <c r="D201" t="str">
        <f t="shared" si="15"/>
        <v xml:space="preserve"> </v>
      </c>
      <c r="E201" s="2" t="s">
        <v>400</v>
      </c>
      <c r="F201" s="3" t="s">
        <v>631</v>
      </c>
      <c r="G201" s="2" t="s">
        <v>401</v>
      </c>
    </row>
    <row r="202" spans="1:7" x14ac:dyDescent="0.25">
      <c r="A202" t="str">
        <f t="shared" si="12"/>
        <v>E92</v>
      </c>
      <c r="B202" t="str">
        <f t="shared" si="13"/>
        <v xml:space="preserve"> F</v>
      </c>
      <c r="C202" t="str">
        <f t="shared" si="14"/>
        <v xml:space="preserve"> P</v>
      </c>
      <c r="D202" t="str">
        <f t="shared" si="15"/>
        <v xml:space="preserve"> </v>
      </c>
      <c r="E202" t="s">
        <v>406</v>
      </c>
      <c r="F202" s="4" t="s">
        <v>631</v>
      </c>
      <c r="G202" t="s">
        <v>407</v>
      </c>
    </row>
    <row r="203" spans="1:7" x14ac:dyDescent="0.25">
      <c r="A203" t="str">
        <f t="shared" si="12"/>
        <v>E92</v>
      </c>
      <c r="B203" t="str">
        <f t="shared" si="13"/>
        <v xml:space="preserve"> F</v>
      </c>
      <c r="C203" t="str">
        <f t="shared" si="14"/>
        <v xml:space="preserve"> P</v>
      </c>
      <c r="D203" t="str">
        <f t="shared" si="15"/>
        <v xml:space="preserve"> </v>
      </c>
      <c r="E203" s="2" t="s">
        <v>394</v>
      </c>
      <c r="F203" s="4" t="s">
        <v>631</v>
      </c>
      <c r="G203" s="2" t="s">
        <v>395</v>
      </c>
    </row>
    <row r="204" spans="1:7" x14ac:dyDescent="0.25">
      <c r="A204" t="str">
        <f t="shared" si="12"/>
        <v>E92</v>
      </c>
      <c r="B204" t="str">
        <f t="shared" si="13"/>
        <v xml:space="preserve"> F</v>
      </c>
      <c r="C204" t="str">
        <f t="shared" si="14"/>
        <v xml:space="preserve"> P</v>
      </c>
      <c r="D204" t="str">
        <f t="shared" si="15"/>
        <v xml:space="preserve"> </v>
      </c>
      <c r="E204" t="s">
        <v>632</v>
      </c>
      <c r="F204" s="4" t="s">
        <v>631</v>
      </c>
      <c r="G204" t="s">
        <v>633</v>
      </c>
    </row>
    <row r="205" spans="1:7" x14ac:dyDescent="0.25">
      <c r="A205" t="str">
        <f t="shared" si="12"/>
        <v>E92</v>
      </c>
      <c r="B205" t="str">
        <f t="shared" si="13"/>
        <v xml:space="preserve"> F</v>
      </c>
      <c r="C205" t="str">
        <f t="shared" si="14"/>
        <v xml:space="preserve"> P</v>
      </c>
      <c r="D205" t="str">
        <f t="shared" si="15"/>
        <v xml:space="preserve"> </v>
      </c>
      <c r="E205" s="5" t="s">
        <v>634</v>
      </c>
      <c r="F205" s="6" t="s">
        <v>631</v>
      </c>
      <c r="G205" s="5" t="s">
        <v>635</v>
      </c>
    </row>
    <row r="206" spans="1:7" x14ac:dyDescent="0.25">
      <c r="A206" t="str">
        <f t="shared" si="12"/>
        <v>E93</v>
      </c>
      <c r="B206" t="str">
        <f t="shared" si="13"/>
        <v>CF</v>
      </c>
      <c r="C206" t="str">
        <f t="shared" si="14"/>
        <v>XA</v>
      </c>
      <c r="D206" t="str">
        <f t="shared" si="15"/>
        <v>N</v>
      </c>
      <c r="E206" s="20" t="s">
        <v>412</v>
      </c>
      <c r="F206" s="25" t="s">
        <v>636</v>
      </c>
      <c r="G206" s="20" t="s">
        <v>637</v>
      </c>
    </row>
    <row r="207" spans="1:7" x14ac:dyDescent="0.25">
      <c r="A207" t="str">
        <f t="shared" si="12"/>
        <v>E93</v>
      </c>
      <c r="B207" t="str">
        <f t="shared" si="13"/>
        <v>FG</v>
      </c>
      <c r="C207" t="str">
        <f t="shared" si="14"/>
        <v>AC</v>
      </c>
      <c r="D207" t="str">
        <f t="shared" si="15"/>
        <v>A</v>
      </c>
      <c r="E207" s="11" t="s">
        <v>413</v>
      </c>
      <c r="F207" s="12" t="s">
        <v>638</v>
      </c>
      <c r="G207" s="11" t="s">
        <v>414</v>
      </c>
    </row>
    <row r="208" spans="1:7" x14ac:dyDescent="0.25">
      <c r="A208" t="str">
        <f t="shared" si="12"/>
        <v>E93</v>
      </c>
      <c r="B208" t="str">
        <f t="shared" si="13"/>
        <v>FG</v>
      </c>
      <c r="C208" t="str">
        <f t="shared" si="14"/>
        <v>AC</v>
      </c>
      <c r="D208" t="str">
        <f t="shared" si="15"/>
        <v>A</v>
      </c>
      <c r="E208" t="s">
        <v>419</v>
      </c>
      <c r="F208" s="4" t="s">
        <v>638</v>
      </c>
      <c r="G208" t="s">
        <v>420</v>
      </c>
    </row>
    <row r="209" spans="1:7" x14ac:dyDescent="0.25">
      <c r="A209" t="str">
        <f t="shared" si="12"/>
        <v>E93</v>
      </c>
      <c r="B209" t="str">
        <f t="shared" si="13"/>
        <v>FG</v>
      </c>
      <c r="C209" t="str">
        <f t="shared" si="14"/>
        <v>AC</v>
      </c>
      <c r="D209" t="str">
        <f t="shared" si="15"/>
        <v>A</v>
      </c>
      <c r="E209" s="2" t="s">
        <v>421</v>
      </c>
      <c r="F209" s="3" t="s">
        <v>638</v>
      </c>
      <c r="G209" s="2" t="s">
        <v>422</v>
      </c>
    </row>
    <row r="210" spans="1:7" x14ac:dyDescent="0.25">
      <c r="A210" t="str">
        <f t="shared" si="12"/>
        <v>E93</v>
      </c>
      <c r="B210" t="str">
        <f t="shared" si="13"/>
        <v>FG</v>
      </c>
      <c r="C210" t="str">
        <f t="shared" si="14"/>
        <v>AC</v>
      </c>
      <c r="D210" t="str">
        <f t="shared" si="15"/>
        <v>A</v>
      </c>
      <c r="E210" t="s">
        <v>431</v>
      </c>
      <c r="F210" s="4" t="s">
        <v>638</v>
      </c>
      <c r="G210" t="s">
        <v>432</v>
      </c>
    </row>
    <row r="211" spans="1:7" x14ac:dyDescent="0.25">
      <c r="A211" t="str">
        <f t="shared" si="12"/>
        <v>E93</v>
      </c>
      <c r="B211" t="str">
        <f t="shared" si="13"/>
        <v>FG</v>
      </c>
      <c r="C211" t="str">
        <f t="shared" si="14"/>
        <v>AC</v>
      </c>
      <c r="D211" t="str">
        <f t="shared" si="15"/>
        <v>A</v>
      </c>
      <c r="E211" s="5" t="s">
        <v>433</v>
      </c>
      <c r="F211" s="6" t="s">
        <v>638</v>
      </c>
      <c r="G211" s="5" t="s">
        <v>434</v>
      </c>
    </row>
    <row r="212" spans="1:7" x14ac:dyDescent="0.25">
      <c r="A212" t="str">
        <f t="shared" si="12"/>
        <v>E93</v>
      </c>
      <c r="B212" t="str">
        <f t="shared" si="13"/>
        <v>FG</v>
      </c>
      <c r="C212" t="str">
        <f t="shared" si="14"/>
        <v>PP</v>
      </c>
      <c r="D212" t="str">
        <f t="shared" si="15"/>
        <v>A</v>
      </c>
      <c r="E212" s="7" t="s">
        <v>415</v>
      </c>
      <c r="F212" s="8" t="s">
        <v>639</v>
      </c>
      <c r="G212" s="7" t="s">
        <v>416</v>
      </c>
    </row>
    <row r="213" spans="1:7" x14ac:dyDescent="0.25">
      <c r="A213" t="str">
        <f t="shared" si="12"/>
        <v>E93</v>
      </c>
      <c r="B213" t="str">
        <f t="shared" si="13"/>
        <v>FG</v>
      </c>
      <c r="C213" t="str">
        <f t="shared" si="14"/>
        <v>PP</v>
      </c>
      <c r="D213" t="str">
        <f t="shared" si="15"/>
        <v>A</v>
      </c>
      <c r="E213" s="2" t="s">
        <v>423</v>
      </c>
      <c r="F213" s="3" t="s">
        <v>639</v>
      </c>
      <c r="G213" s="2" t="s">
        <v>424</v>
      </c>
    </row>
    <row r="214" spans="1:7" x14ac:dyDescent="0.25">
      <c r="A214" t="str">
        <f t="shared" si="12"/>
        <v>E93</v>
      </c>
      <c r="B214" t="str">
        <f t="shared" si="13"/>
        <v>FG</v>
      </c>
      <c r="C214" t="str">
        <f t="shared" si="14"/>
        <v>PP</v>
      </c>
      <c r="D214" t="str">
        <f t="shared" si="15"/>
        <v>A</v>
      </c>
      <c r="E214" t="s">
        <v>425</v>
      </c>
      <c r="F214" s="4" t="s">
        <v>639</v>
      </c>
      <c r="G214" t="s">
        <v>426</v>
      </c>
    </row>
    <row r="215" spans="1:7" x14ac:dyDescent="0.25">
      <c r="A215" t="str">
        <f t="shared" si="12"/>
        <v>E93</v>
      </c>
      <c r="B215" t="str">
        <f t="shared" si="13"/>
        <v>FG</v>
      </c>
      <c r="C215" t="str">
        <f t="shared" si="14"/>
        <v>PP</v>
      </c>
      <c r="D215" t="str">
        <f t="shared" si="15"/>
        <v>A</v>
      </c>
      <c r="E215" s="2" t="s">
        <v>435</v>
      </c>
      <c r="F215" s="3" t="s">
        <v>639</v>
      </c>
      <c r="G215" s="2" t="s">
        <v>436</v>
      </c>
    </row>
    <row r="216" spans="1:7" x14ac:dyDescent="0.25">
      <c r="A216" t="str">
        <f t="shared" si="12"/>
        <v>E93</v>
      </c>
      <c r="B216" t="str">
        <f t="shared" si="13"/>
        <v>FG</v>
      </c>
      <c r="C216" t="str">
        <f t="shared" si="14"/>
        <v>PP</v>
      </c>
      <c r="D216" t="str">
        <f t="shared" si="15"/>
        <v>A</v>
      </c>
      <c r="E216" s="9" t="s">
        <v>437</v>
      </c>
      <c r="F216" s="10" t="s">
        <v>639</v>
      </c>
      <c r="G216" s="9" t="s">
        <v>438</v>
      </c>
    </row>
    <row r="217" spans="1:7" x14ac:dyDescent="0.25">
      <c r="A217" t="str">
        <f t="shared" si="12"/>
        <v>E93</v>
      </c>
      <c r="B217" t="str">
        <f t="shared" si="13"/>
        <v>FG</v>
      </c>
      <c r="C217" t="str">
        <f t="shared" si="14"/>
        <v>PP</v>
      </c>
      <c r="D217" t="str">
        <f t="shared" si="15"/>
        <v>B</v>
      </c>
      <c r="E217" s="11" t="s">
        <v>417</v>
      </c>
      <c r="F217" s="12" t="s">
        <v>640</v>
      </c>
      <c r="G217" s="11" t="s">
        <v>418</v>
      </c>
    </row>
    <row r="218" spans="1:7" x14ac:dyDescent="0.25">
      <c r="A218" t="str">
        <f t="shared" si="12"/>
        <v>E93</v>
      </c>
      <c r="B218" t="str">
        <f t="shared" si="13"/>
        <v>FG</v>
      </c>
      <c r="C218" t="str">
        <f t="shared" si="14"/>
        <v>PP</v>
      </c>
      <c r="D218" t="str">
        <f t="shared" si="15"/>
        <v>B</v>
      </c>
      <c r="E218" t="s">
        <v>427</v>
      </c>
      <c r="F218" s="4" t="s">
        <v>640</v>
      </c>
      <c r="G218" t="s">
        <v>428</v>
      </c>
    </row>
    <row r="219" spans="1:7" x14ac:dyDescent="0.25">
      <c r="A219" t="str">
        <f t="shared" si="12"/>
        <v>E93</v>
      </c>
      <c r="B219" t="str">
        <f t="shared" si="13"/>
        <v>FG</v>
      </c>
      <c r="C219" t="str">
        <f t="shared" si="14"/>
        <v>PP</v>
      </c>
      <c r="D219" t="str">
        <f t="shared" si="15"/>
        <v>B</v>
      </c>
      <c r="E219" s="2" t="s">
        <v>429</v>
      </c>
      <c r="F219" s="3" t="s">
        <v>640</v>
      </c>
      <c r="G219" s="2" t="s">
        <v>430</v>
      </c>
    </row>
    <row r="220" spans="1:7" x14ac:dyDescent="0.25">
      <c r="A220" t="str">
        <f t="shared" si="12"/>
        <v>E93</v>
      </c>
      <c r="B220" t="str">
        <f t="shared" si="13"/>
        <v>FG</v>
      </c>
      <c r="C220" t="str">
        <f t="shared" si="14"/>
        <v>PP</v>
      </c>
      <c r="D220" t="str">
        <f t="shared" si="15"/>
        <v>B</v>
      </c>
      <c r="E220" t="s">
        <v>408</v>
      </c>
      <c r="F220" s="4" t="s">
        <v>640</v>
      </c>
      <c r="G220" s="26" t="s">
        <v>409</v>
      </c>
    </row>
    <row r="221" spans="1:7" x14ac:dyDescent="0.25">
      <c r="A221" t="str">
        <f t="shared" si="12"/>
        <v>E93</v>
      </c>
      <c r="B221" t="str">
        <f t="shared" si="13"/>
        <v>FG</v>
      </c>
      <c r="C221" t="str">
        <f t="shared" si="14"/>
        <v>PP</v>
      </c>
      <c r="D221" t="str">
        <f t="shared" si="15"/>
        <v>B</v>
      </c>
      <c r="E221" s="2" t="s">
        <v>439</v>
      </c>
      <c r="F221" s="3" t="s">
        <v>640</v>
      </c>
      <c r="G221" s="2" t="s">
        <v>440</v>
      </c>
    </row>
    <row r="222" spans="1:7" x14ac:dyDescent="0.25">
      <c r="A222" t="str">
        <f t="shared" si="12"/>
        <v>E93</v>
      </c>
      <c r="B222" t="str">
        <f t="shared" si="13"/>
        <v>FG</v>
      </c>
      <c r="C222" t="str">
        <f t="shared" si="14"/>
        <v>PP</v>
      </c>
      <c r="D222" t="str">
        <f t="shared" si="15"/>
        <v>B</v>
      </c>
      <c r="E222" t="s">
        <v>441</v>
      </c>
      <c r="F222" s="4" t="s">
        <v>640</v>
      </c>
      <c r="G222" t="s">
        <v>442</v>
      </c>
    </row>
    <row r="223" spans="1:7" x14ac:dyDescent="0.25">
      <c r="A223" t="str">
        <f t="shared" si="12"/>
        <v>E93</v>
      </c>
      <c r="B223" t="str">
        <f t="shared" si="13"/>
        <v>FG</v>
      </c>
      <c r="C223" t="str">
        <f t="shared" si="14"/>
        <v>PP</v>
      </c>
      <c r="D223" t="str">
        <f t="shared" si="15"/>
        <v>B</v>
      </c>
      <c r="E223" s="2" t="s">
        <v>410</v>
      </c>
      <c r="F223" s="3" t="s">
        <v>640</v>
      </c>
      <c r="G223" s="27" t="s">
        <v>411</v>
      </c>
    </row>
    <row r="224" spans="1:7" x14ac:dyDescent="0.25">
      <c r="A224" t="str">
        <f t="shared" si="12"/>
        <v>E93</v>
      </c>
      <c r="B224" t="str">
        <f t="shared" si="13"/>
        <v>LI</v>
      </c>
      <c r="C224" t="str">
        <f t="shared" si="14"/>
        <v xml:space="preserve">O </v>
      </c>
      <c r="D224" t="str">
        <f t="shared" si="15"/>
        <v xml:space="preserve"> </v>
      </c>
      <c r="E224" s="9" t="s">
        <v>443</v>
      </c>
      <c r="F224" s="10" t="s">
        <v>641</v>
      </c>
      <c r="G224" s="9" t="s">
        <v>444</v>
      </c>
    </row>
    <row r="225" spans="1:7" x14ac:dyDescent="0.25">
      <c r="A225" t="str">
        <f t="shared" si="12"/>
        <v>GAR</v>
      </c>
      <c r="B225" t="str">
        <f t="shared" si="13"/>
        <v xml:space="preserve">A </v>
      </c>
      <c r="C225" t="str">
        <f t="shared" si="14"/>
        <v>30</v>
      </c>
      <c r="D225" t="str">
        <f t="shared" si="15"/>
        <v>P</v>
      </c>
      <c r="E225" s="11" t="s">
        <v>290</v>
      </c>
      <c r="F225" s="12" t="s">
        <v>642</v>
      </c>
      <c r="G225" s="11" t="s">
        <v>291</v>
      </c>
    </row>
    <row r="226" spans="1:7" x14ac:dyDescent="0.25">
      <c r="A226" t="str">
        <f t="shared" si="12"/>
        <v>GAR</v>
      </c>
      <c r="B226" t="str">
        <f t="shared" si="13"/>
        <v xml:space="preserve">A </v>
      </c>
      <c r="C226" t="str">
        <f t="shared" si="14"/>
        <v>30</v>
      </c>
      <c r="D226" t="str">
        <f t="shared" si="15"/>
        <v>P</v>
      </c>
      <c r="E226" t="s">
        <v>292</v>
      </c>
      <c r="F226" s="4" t="s">
        <v>643</v>
      </c>
      <c r="G226" t="s">
        <v>293</v>
      </c>
    </row>
    <row r="227" spans="1:7" x14ac:dyDescent="0.25">
      <c r="A227" t="str">
        <f t="shared" si="12"/>
        <v>GAR</v>
      </c>
      <c r="B227" t="str">
        <f t="shared" si="13"/>
        <v xml:space="preserve">A </v>
      </c>
      <c r="C227" t="str">
        <f t="shared" si="14"/>
        <v>50</v>
      </c>
      <c r="D227" t="str">
        <f t="shared" si="15"/>
        <v>P</v>
      </c>
      <c r="E227" s="5" t="s">
        <v>376</v>
      </c>
      <c r="F227" s="6" t="s">
        <v>644</v>
      </c>
      <c r="G227" s="5" t="s">
        <v>377</v>
      </c>
    </row>
    <row r="228" spans="1:7" x14ac:dyDescent="0.25">
      <c r="A228" t="str">
        <f t="shared" si="12"/>
        <v>PAS</v>
      </c>
      <c r="B228" t="str">
        <f t="shared" si="13"/>
        <v>DO</v>
      </c>
      <c r="C228" t="str">
        <f t="shared" si="14"/>
        <v xml:space="preserve"> P</v>
      </c>
      <c r="D228" t="str">
        <f t="shared" si="15"/>
        <v xml:space="preserve"> </v>
      </c>
      <c r="E228" t="s">
        <v>520</v>
      </c>
      <c r="F228" s="4" t="s">
        <v>699</v>
      </c>
      <c r="G228" s="26" t="s">
        <v>521</v>
      </c>
    </row>
    <row r="229" spans="1:7" x14ac:dyDescent="0.25">
      <c r="A229" t="str">
        <f t="shared" si="12"/>
        <v>PAS</v>
      </c>
      <c r="B229" t="str">
        <f t="shared" si="13"/>
        <v>DO</v>
      </c>
      <c r="C229" t="str">
        <f t="shared" si="14"/>
        <v xml:space="preserve"> A</v>
      </c>
      <c r="D229" t="str">
        <f t="shared" si="15"/>
        <v xml:space="preserve"> </v>
      </c>
      <c r="E229" s="2" t="s">
        <v>472</v>
      </c>
      <c r="F229" s="3" t="s">
        <v>700</v>
      </c>
      <c r="G229" s="27" t="s">
        <v>473</v>
      </c>
    </row>
    <row r="230" spans="1:7" x14ac:dyDescent="0.25">
      <c r="A230" t="str">
        <f t="shared" si="12"/>
        <v/>
      </c>
      <c r="B230" t="str">
        <f t="shared" si="13"/>
        <v/>
      </c>
      <c r="C230" t="str">
        <f t="shared" si="14"/>
        <v/>
      </c>
      <c r="D230" t="str">
        <f t="shared" si="15"/>
        <v/>
      </c>
      <c r="E230" t="s">
        <v>474</v>
      </c>
      <c r="F230" s="29"/>
      <c r="G230" t="s">
        <v>475</v>
      </c>
    </row>
    <row r="231" spans="1:7" x14ac:dyDescent="0.25">
      <c r="A231" t="str">
        <f t="shared" si="12"/>
        <v/>
      </c>
      <c r="B231" t="str">
        <f t="shared" si="13"/>
        <v/>
      </c>
      <c r="C231" t="str">
        <f t="shared" si="14"/>
        <v/>
      </c>
      <c r="D231" t="str">
        <f t="shared" si="15"/>
        <v/>
      </c>
      <c r="E231" s="2" t="s">
        <v>476</v>
      </c>
      <c r="F231" s="3"/>
      <c r="G231" s="2" t="s">
        <v>477</v>
      </c>
    </row>
    <row r="232" spans="1:7" x14ac:dyDescent="0.25">
      <c r="A232" t="str">
        <f t="shared" si="12"/>
        <v/>
      </c>
      <c r="B232" t="str">
        <f t="shared" si="13"/>
        <v/>
      </c>
      <c r="C232" t="str">
        <f t="shared" si="14"/>
        <v/>
      </c>
      <c r="D232" t="str">
        <f t="shared" si="15"/>
        <v/>
      </c>
      <c r="E232" t="s">
        <v>478</v>
      </c>
      <c r="F232" s="3"/>
      <c r="G232" t="s">
        <v>479</v>
      </c>
    </row>
    <row r="233" spans="1:7" x14ac:dyDescent="0.25">
      <c r="A233" t="str">
        <f t="shared" si="12"/>
        <v/>
      </c>
      <c r="B233" t="str">
        <f t="shared" si="13"/>
        <v/>
      </c>
      <c r="C233" t="str">
        <f t="shared" si="14"/>
        <v/>
      </c>
      <c r="D233" t="str">
        <f t="shared" si="15"/>
        <v/>
      </c>
      <c r="E233" s="2" t="s">
        <v>480</v>
      </c>
      <c r="F233" s="3"/>
      <c r="G233" s="2" t="s">
        <v>481</v>
      </c>
    </row>
    <row r="234" spans="1:7" x14ac:dyDescent="0.25">
      <c r="A234" t="str">
        <f t="shared" si="12"/>
        <v/>
      </c>
      <c r="B234" t="str">
        <f t="shared" si="13"/>
        <v/>
      </c>
      <c r="C234" t="str">
        <f t="shared" si="14"/>
        <v/>
      </c>
      <c r="D234" t="str">
        <f t="shared" si="15"/>
        <v/>
      </c>
      <c r="E234" t="s">
        <v>482</v>
      </c>
      <c r="F234" s="3"/>
      <c r="G234" t="s">
        <v>483</v>
      </c>
    </row>
    <row r="235" spans="1:7" x14ac:dyDescent="0.25">
      <c r="A235" t="str">
        <f t="shared" si="12"/>
        <v/>
      </c>
      <c r="B235" t="str">
        <f t="shared" si="13"/>
        <v/>
      </c>
      <c r="C235" t="str">
        <f t="shared" si="14"/>
        <v/>
      </c>
      <c r="D235" t="str">
        <f t="shared" si="15"/>
        <v/>
      </c>
      <c r="E235" s="2" t="s">
        <v>484</v>
      </c>
      <c r="F235" s="3"/>
      <c r="G235" s="2" t="s">
        <v>485</v>
      </c>
    </row>
    <row r="236" spans="1:7" x14ac:dyDescent="0.25">
      <c r="A236" t="str">
        <f t="shared" si="12"/>
        <v/>
      </c>
      <c r="B236" t="str">
        <f t="shared" si="13"/>
        <v/>
      </c>
      <c r="C236" t="str">
        <f t="shared" si="14"/>
        <v/>
      </c>
      <c r="D236" t="str">
        <f t="shared" si="15"/>
        <v/>
      </c>
      <c r="E236" t="s">
        <v>486</v>
      </c>
      <c r="F236" s="3"/>
      <c r="G236" t="s">
        <v>487</v>
      </c>
    </row>
    <row r="237" spans="1:7" x14ac:dyDescent="0.25">
      <c r="A237" t="str">
        <f t="shared" si="12"/>
        <v>PAS</v>
      </c>
      <c r="B237" t="str">
        <f t="shared" si="13"/>
        <v>DO</v>
      </c>
      <c r="C237" t="str">
        <f t="shared" si="14"/>
        <v xml:space="preserve"> A</v>
      </c>
      <c r="D237" t="str">
        <f t="shared" si="15"/>
        <v xml:space="preserve"> </v>
      </c>
      <c r="E237" s="2" t="s">
        <v>528</v>
      </c>
      <c r="F237" s="3" t="s">
        <v>701</v>
      </c>
      <c r="G237" s="27" t="s">
        <v>529</v>
      </c>
    </row>
    <row r="238" spans="1:7" x14ac:dyDescent="0.25">
      <c r="A238" t="str">
        <f t="shared" si="12"/>
        <v>PAS</v>
      </c>
      <c r="B238" t="str">
        <f t="shared" si="13"/>
        <v>DO</v>
      </c>
      <c r="C238" t="str">
        <f t="shared" si="14"/>
        <v xml:space="preserve"> A</v>
      </c>
      <c r="D238" t="str">
        <f t="shared" si="15"/>
        <v xml:space="preserve"> </v>
      </c>
      <c r="E238" t="s">
        <v>548</v>
      </c>
      <c r="F238" s="3" t="s">
        <v>702</v>
      </c>
      <c r="G238" s="26" t="s">
        <v>549</v>
      </c>
    </row>
    <row r="239" spans="1:7" x14ac:dyDescent="0.25">
      <c r="A239" t="str">
        <f t="shared" si="12"/>
        <v/>
      </c>
      <c r="B239" t="str">
        <f t="shared" si="13"/>
        <v/>
      </c>
      <c r="C239" t="str">
        <f t="shared" si="14"/>
        <v/>
      </c>
      <c r="D239" t="str">
        <f t="shared" si="15"/>
        <v/>
      </c>
      <c r="E239" s="2" t="s">
        <v>550</v>
      </c>
      <c r="F239" s="3"/>
      <c r="G239" s="2" t="s">
        <v>645</v>
      </c>
    </row>
    <row r="240" spans="1:7" x14ac:dyDescent="0.25">
      <c r="A240" t="str">
        <f t="shared" si="12"/>
        <v/>
      </c>
      <c r="B240" t="str">
        <f t="shared" si="13"/>
        <v/>
      </c>
      <c r="C240" t="str">
        <f t="shared" si="14"/>
        <v/>
      </c>
      <c r="D240" t="str">
        <f t="shared" si="15"/>
        <v/>
      </c>
      <c r="E240" t="s">
        <v>551</v>
      </c>
      <c r="F240" s="4"/>
      <c r="G240" t="s">
        <v>646</v>
      </c>
    </row>
    <row r="241" spans="1:7" x14ac:dyDescent="0.25">
      <c r="A241" t="str">
        <f t="shared" si="12"/>
        <v/>
      </c>
      <c r="B241" t="str">
        <f t="shared" si="13"/>
        <v/>
      </c>
      <c r="C241" t="str">
        <f t="shared" si="14"/>
        <v/>
      </c>
      <c r="D241" t="str">
        <f t="shared" si="15"/>
        <v/>
      </c>
      <c r="E241" s="2" t="s">
        <v>530</v>
      </c>
      <c r="F241" s="3"/>
      <c r="G241" s="2" t="s">
        <v>531</v>
      </c>
    </row>
    <row r="242" spans="1:7" x14ac:dyDescent="0.25">
      <c r="A242" t="str">
        <f t="shared" si="12"/>
        <v/>
      </c>
      <c r="B242" t="str">
        <f t="shared" si="13"/>
        <v/>
      </c>
      <c r="C242" t="str">
        <f t="shared" si="14"/>
        <v/>
      </c>
      <c r="D242" t="str">
        <f t="shared" si="15"/>
        <v/>
      </c>
      <c r="E242" t="s">
        <v>532</v>
      </c>
      <c r="F242" s="4"/>
      <c r="G242" t="s">
        <v>533</v>
      </c>
    </row>
    <row r="243" spans="1:7" x14ac:dyDescent="0.25">
      <c r="A243" t="str">
        <f t="shared" si="12"/>
        <v/>
      </c>
      <c r="B243" t="str">
        <f t="shared" si="13"/>
        <v/>
      </c>
      <c r="C243" t="str">
        <f t="shared" si="14"/>
        <v/>
      </c>
      <c r="D243" t="str">
        <f t="shared" si="15"/>
        <v/>
      </c>
      <c r="E243" s="2" t="s">
        <v>534</v>
      </c>
      <c r="F243" s="3"/>
      <c r="G243" s="2" t="s">
        <v>535</v>
      </c>
    </row>
    <row r="244" spans="1:7" x14ac:dyDescent="0.25">
      <c r="A244" t="str">
        <f t="shared" si="12"/>
        <v>PAS</v>
      </c>
      <c r="B244" t="str">
        <f t="shared" si="13"/>
        <v>DO</v>
      </c>
      <c r="C244" t="str">
        <f t="shared" si="14"/>
        <v xml:space="preserve"> N</v>
      </c>
      <c r="D244" t="str">
        <f t="shared" si="15"/>
        <v xml:space="preserve"> </v>
      </c>
      <c r="E244" t="s">
        <v>488</v>
      </c>
      <c r="F244" s="3" t="s">
        <v>685</v>
      </c>
      <c r="G244" s="26" t="s">
        <v>489</v>
      </c>
    </row>
    <row r="245" spans="1:7" x14ac:dyDescent="0.25">
      <c r="A245" t="str">
        <f t="shared" si="12"/>
        <v>PAS</v>
      </c>
      <c r="B245" t="str">
        <f t="shared" si="13"/>
        <v>DO</v>
      </c>
      <c r="C245" t="str">
        <f t="shared" si="14"/>
        <v xml:space="preserve"> P</v>
      </c>
      <c r="D245" t="str">
        <f t="shared" si="15"/>
        <v>T</v>
      </c>
      <c r="E245" s="2" t="s">
        <v>490</v>
      </c>
      <c r="F245" s="3" t="s">
        <v>684</v>
      </c>
      <c r="G245" s="27" t="s">
        <v>491</v>
      </c>
    </row>
    <row r="246" spans="1:7" x14ac:dyDescent="0.25">
      <c r="A246" t="str">
        <f t="shared" si="12"/>
        <v>PAS</v>
      </c>
      <c r="B246" t="str">
        <f t="shared" si="13"/>
        <v>DO</v>
      </c>
      <c r="C246" t="str">
        <f t="shared" si="14"/>
        <v xml:space="preserve"> P</v>
      </c>
      <c r="D246" t="str">
        <f t="shared" si="15"/>
        <v xml:space="preserve"> </v>
      </c>
      <c r="E246" t="s">
        <v>492</v>
      </c>
      <c r="F246" s="3" t="s">
        <v>683</v>
      </c>
      <c r="G246" s="26" t="s">
        <v>493</v>
      </c>
    </row>
    <row r="247" spans="1:7" x14ac:dyDescent="0.25">
      <c r="A247" t="str">
        <f t="shared" si="12"/>
        <v/>
      </c>
      <c r="B247" t="str">
        <f t="shared" si="13"/>
        <v/>
      </c>
      <c r="C247" t="str">
        <f t="shared" si="14"/>
        <v/>
      </c>
      <c r="D247" t="str">
        <f t="shared" si="15"/>
        <v/>
      </c>
      <c r="E247" s="2" t="s">
        <v>494</v>
      </c>
      <c r="F247" s="3"/>
      <c r="G247" s="2" t="s">
        <v>495</v>
      </c>
    </row>
    <row r="248" spans="1:7" x14ac:dyDescent="0.25">
      <c r="A248" t="str">
        <f t="shared" si="12"/>
        <v>PAS</v>
      </c>
      <c r="B248" t="str">
        <f t="shared" si="13"/>
        <v>DO</v>
      </c>
      <c r="C248" t="str">
        <f t="shared" si="14"/>
        <v xml:space="preserve"> P</v>
      </c>
      <c r="D248" t="str">
        <f t="shared" si="15"/>
        <v xml:space="preserve"> </v>
      </c>
      <c r="E248" t="s">
        <v>536</v>
      </c>
      <c r="F248" s="3" t="s">
        <v>682</v>
      </c>
      <c r="G248" s="26" t="s">
        <v>537</v>
      </c>
    </row>
    <row r="249" spans="1:7" x14ac:dyDescent="0.25">
      <c r="A249" t="str">
        <f t="shared" si="12"/>
        <v/>
      </c>
      <c r="B249" t="str">
        <f t="shared" si="13"/>
        <v/>
      </c>
      <c r="C249" t="str">
        <f t="shared" si="14"/>
        <v/>
      </c>
      <c r="D249" t="str">
        <f t="shared" si="15"/>
        <v/>
      </c>
      <c r="E249" s="2" t="s">
        <v>538</v>
      </c>
      <c r="F249" s="3"/>
      <c r="G249" s="2" t="s">
        <v>539</v>
      </c>
    </row>
    <row r="250" spans="1:7" x14ac:dyDescent="0.25">
      <c r="A250" t="str">
        <f t="shared" si="12"/>
        <v>PAS</v>
      </c>
      <c r="B250" t="str">
        <f t="shared" si="13"/>
        <v>DO</v>
      </c>
      <c r="C250" t="str">
        <f t="shared" si="14"/>
        <v xml:space="preserve"> P</v>
      </c>
      <c r="D250" t="str">
        <f t="shared" si="15"/>
        <v xml:space="preserve"> </v>
      </c>
      <c r="E250" t="s">
        <v>522</v>
      </c>
      <c r="F250" s="3" t="s">
        <v>681</v>
      </c>
      <c r="G250" s="26" t="s">
        <v>523</v>
      </c>
    </row>
    <row r="251" spans="1:7" x14ac:dyDescent="0.25">
      <c r="A251" t="str">
        <f t="shared" si="12"/>
        <v/>
      </c>
      <c r="B251" t="str">
        <f t="shared" si="13"/>
        <v/>
      </c>
      <c r="C251" t="str">
        <f t="shared" si="14"/>
        <v/>
      </c>
      <c r="D251" t="str">
        <f t="shared" si="15"/>
        <v/>
      </c>
      <c r="E251" s="2" t="s">
        <v>524</v>
      </c>
      <c r="F251" s="3"/>
      <c r="G251" s="2" t="s">
        <v>525</v>
      </c>
    </row>
    <row r="252" spans="1:7" x14ac:dyDescent="0.25">
      <c r="A252" t="str">
        <f t="shared" si="12"/>
        <v/>
      </c>
      <c r="B252" t="str">
        <f t="shared" si="13"/>
        <v/>
      </c>
      <c r="C252" t="str">
        <f t="shared" si="14"/>
        <v/>
      </c>
      <c r="D252" t="str">
        <f t="shared" si="15"/>
        <v/>
      </c>
      <c r="E252" t="s">
        <v>526</v>
      </c>
      <c r="F252" s="4"/>
      <c r="G252" t="s">
        <v>527</v>
      </c>
    </row>
    <row r="253" spans="1:7" x14ac:dyDescent="0.25">
      <c r="A253" t="str">
        <f t="shared" si="12"/>
        <v/>
      </c>
      <c r="B253" t="str">
        <f t="shared" si="13"/>
        <v/>
      </c>
      <c r="C253" t="str">
        <f t="shared" si="14"/>
        <v/>
      </c>
      <c r="D253" t="str">
        <f t="shared" si="15"/>
        <v/>
      </c>
      <c r="E253" s="2" t="s">
        <v>552</v>
      </c>
      <c r="F253" s="3"/>
      <c r="G253" s="2" t="s">
        <v>553</v>
      </c>
    </row>
    <row r="254" spans="1:7" x14ac:dyDescent="0.25">
      <c r="A254" t="str">
        <f t="shared" si="12"/>
        <v>PAS</v>
      </c>
      <c r="B254" t="str">
        <f t="shared" si="13"/>
        <v>DO</v>
      </c>
      <c r="C254" t="str">
        <f t="shared" si="14"/>
        <v xml:space="preserve"> P</v>
      </c>
      <c r="D254" t="str">
        <f t="shared" si="15"/>
        <v xml:space="preserve"> </v>
      </c>
      <c r="E254" t="s">
        <v>554</v>
      </c>
      <c r="F254" s="4" t="s">
        <v>680</v>
      </c>
      <c r="G254" s="26" t="s">
        <v>555</v>
      </c>
    </row>
    <row r="255" spans="1:7" x14ac:dyDescent="0.25">
      <c r="A255" t="str">
        <f t="shared" si="12"/>
        <v>PAS</v>
      </c>
      <c r="B255" t="str">
        <f t="shared" si="13"/>
        <v>DO</v>
      </c>
      <c r="C255" t="str">
        <f t="shared" si="14"/>
        <v xml:space="preserve"> P</v>
      </c>
      <c r="D255" t="str">
        <f t="shared" si="15"/>
        <v xml:space="preserve"> </v>
      </c>
      <c r="E255" s="2" t="s">
        <v>496</v>
      </c>
      <c r="F255" s="3" t="s">
        <v>679</v>
      </c>
      <c r="G255" s="27" t="s">
        <v>497</v>
      </c>
    </row>
    <row r="256" spans="1:7" x14ac:dyDescent="0.25">
      <c r="A256" t="str">
        <f t="shared" si="12"/>
        <v/>
      </c>
      <c r="B256" t="str">
        <f t="shared" si="13"/>
        <v/>
      </c>
      <c r="C256" t="str">
        <f t="shared" si="14"/>
        <v/>
      </c>
      <c r="D256" t="str">
        <f t="shared" si="15"/>
        <v/>
      </c>
      <c r="E256" t="s">
        <v>498</v>
      </c>
      <c r="F256" s="4"/>
      <c r="G256" t="s">
        <v>499</v>
      </c>
    </row>
    <row r="257" spans="1:7" x14ac:dyDescent="0.25">
      <c r="A257" t="str">
        <f t="shared" si="12"/>
        <v/>
      </c>
      <c r="B257" t="str">
        <f t="shared" si="13"/>
        <v/>
      </c>
      <c r="C257" t="str">
        <f t="shared" si="14"/>
        <v/>
      </c>
      <c r="D257" t="str">
        <f t="shared" si="15"/>
        <v/>
      </c>
      <c r="E257" s="2" t="s">
        <v>500</v>
      </c>
      <c r="F257" s="3"/>
      <c r="G257" s="2" t="s">
        <v>501</v>
      </c>
    </row>
    <row r="258" spans="1:7" x14ac:dyDescent="0.25">
      <c r="A258" t="str">
        <f t="shared" si="12"/>
        <v/>
      </c>
      <c r="B258" t="str">
        <f t="shared" si="13"/>
        <v/>
      </c>
      <c r="C258" t="str">
        <f t="shared" si="14"/>
        <v/>
      </c>
      <c r="D258" t="str">
        <f t="shared" si="15"/>
        <v/>
      </c>
      <c r="E258" t="s">
        <v>502</v>
      </c>
      <c r="F258" s="4"/>
      <c r="G258" t="s">
        <v>503</v>
      </c>
    </row>
    <row r="259" spans="1:7" x14ac:dyDescent="0.25">
      <c r="A259" t="str">
        <f t="shared" ref="A259:A289" si="16">MID(F259,1,3)</f>
        <v/>
      </c>
      <c r="B259" t="str">
        <f t="shared" ref="B259:B289" si="17">MID(F259,5,2)</f>
        <v/>
      </c>
      <c r="C259" t="str">
        <f t="shared" ref="C259:C289" si="18">MID(F259,8,2)</f>
        <v/>
      </c>
      <c r="D259" t="str">
        <f t="shared" ref="D259:D289" si="19">MID(F259,11,1)</f>
        <v/>
      </c>
      <c r="E259" s="2" t="s">
        <v>504</v>
      </c>
      <c r="F259" s="3"/>
      <c r="G259" s="2" t="s">
        <v>505</v>
      </c>
    </row>
    <row r="260" spans="1:7" x14ac:dyDescent="0.25">
      <c r="A260" t="str">
        <f t="shared" si="16"/>
        <v/>
      </c>
      <c r="B260" t="str">
        <f t="shared" si="17"/>
        <v/>
      </c>
      <c r="C260" t="str">
        <f t="shared" si="18"/>
        <v/>
      </c>
      <c r="D260" t="str">
        <f t="shared" si="19"/>
        <v/>
      </c>
      <c r="E260" t="s">
        <v>506</v>
      </c>
      <c r="F260" s="4"/>
      <c r="G260" t="s">
        <v>507</v>
      </c>
    </row>
    <row r="261" spans="1:7" x14ac:dyDescent="0.25">
      <c r="A261" t="str">
        <f t="shared" si="16"/>
        <v/>
      </c>
      <c r="B261" t="str">
        <f t="shared" si="17"/>
        <v/>
      </c>
      <c r="C261" t="str">
        <f t="shared" si="18"/>
        <v/>
      </c>
      <c r="D261" t="str">
        <f t="shared" si="19"/>
        <v/>
      </c>
      <c r="E261" s="2" t="s">
        <v>508</v>
      </c>
      <c r="F261" s="3"/>
      <c r="G261" s="2" t="s">
        <v>509</v>
      </c>
    </row>
    <row r="262" spans="1:7" x14ac:dyDescent="0.25">
      <c r="A262" t="str">
        <f t="shared" si="16"/>
        <v/>
      </c>
      <c r="B262" t="str">
        <f t="shared" si="17"/>
        <v/>
      </c>
      <c r="C262" t="str">
        <f t="shared" si="18"/>
        <v/>
      </c>
      <c r="D262" t="str">
        <f t="shared" si="19"/>
        <v/>
      </c>
      <c r="E262" t="s">
        <v>510</v>
      </c>
      <c r="F262" s="4"/>
      <c r="G262" t="s">
        <v>511</v>
      </c>
    </row>
    <row r="263" spans="1:7" x14ac:dyDescent="0.25">
      <c r="A263" t="str">
        <f t="shared" si="16"/>
        <v/>
      </c>
      <c r="B263" t="str">
        <f t="shared" si="17"/>
        <v/>
      </c>
      <c r="C263" t="str">
        <f t="shared" si="18"/>
        <v/>
      </c>
      <c r="D263" t="str">
        <f t="shared" si="19"/>
        <v/>
      </c>
      <c r="E263" s="2" t="s">
        <v>512</v>
      </c>
      <c r="F263" s="3"/>
      <c r="G263" s="2" t="s">
        <v>513</v>
      </c>
    </row>
    <row r="264" spans="1:7" x14ac:dyDescent="0.25">
      <c r="A264" t="str">
        <f t="shared" si="16"/>
        <v/>
      </c>
      <c r="B264" t="str">
        <f t="shared" si="17"/>
        <v/>
      </c>
      <c r="C264" t="str">
        <f t="shared" si="18"/>
        <v/>
      </c>
      <c r="D264" t="str">
        <f t="shared" si="19"/>
        <v/>
      </c>
      <c r="E264" t="s">
        <v>514</v>
      </c>
      <c r="F264" s="4"/>
      <c r="G264" t="s">
        <v>515</v>
      </c>
    </row>
    <row r="265" spans="1:7" x14ac:dyDescent="0.25">
      <c r="A265" t="str">
        <f t="shared" si="16"/>
        <v/>
      </c>
      <c r="B265" t="str">
        <f t="shared" si="17"/>
        <v/>
      </c>
      <c r="C265" t="str">
        <f t="shared" si="18"/>
        <v/>
      </c>
      <c r="D265" t="str">
        <f t="shared" si="19"/>
        <v/>
      </c>
      <c r="E265" s="2" t="s">
        <v>516</v>
      </c>
      <c r="F265" s="3"/>
      <c r="G265" s="2" t="s">
        <v>517</v>
      </c>
    </row>
    <row r="266" spans="1:7" x14ac:dyDescent="0.25">
      <c r="A266" t="str">
        <f t="shared" si="16"/>
        <v/>
      </c>
      <c r="B266" t="str">
        <f t="shared" si="17"/>
        <v/>
      </c>
      <c r="C266" t="str">
        <f t="shared" si="18"/>
        <v/>
      </c>
      <c r="D266" t="str">
        <f t="shared" si="19"/>
        <v/>
      </c>
      <c r="E266" t="s">
        <v>518</v>
      </c>
      <c r="F266" s="4"/>
      <c r="G266" t="s">
        <v>519</v>
      </c>
    </row>
    <row r="267" spans="1:7" x14ac:dyDescent="0.25">
      <c r="A267" t="str">
        <f t="shared" si="16"/>
        <v>PAS</v>
      </c>
      <c r="B267" t="str">
        <f t="shared" si="17"/>
        <v>DO</v>
      </c>
      <c r="C267" t="str">
        <f t="shared" si="18"/>
        <v xml:space="preserve"> P</v>
      </c>
      <c r="D267" t="str">
        <f t="shared" si="19"/>
        <v xml:space="preserve"> </v>
      </c>
      <c r="E267" s="2" t="s">
        <v>540</v>
      </c>
      <c r="F267" s="3" t="s">
        <v>678</v>
      </c>
      <c r="G267" s="27" t="s">
        <v>541</v>
      </c>
    </row>
    <row r="268" spans="1:7" x14ac:dyDescent="0.25">
      <c r="A268" t="str">
        <f t="shared" si="16"/>
        <v/>
      </c>
      <c r="B268" t="str">
        <f t="shared" si="17"/>
        <v/>
      </c>
      <c r="C268" t="str">
        <f t="shared" si="18"/>
        <v/>
      </c>
      <c r="D268" t="str">
        <f t="shared" si="19"/>
        <v/>
      </c>
      <c r="E268" t="s">
        <v>542</v>
      </c>
      <c r="F268" s="4"/>
      <c r="G268" t="s">
        <v>543</v>
      </c>
    </row>
    <row r="269" spans="1:7" x14ac:dyDescent="0.25">
      <c r="A269" t="str">
        <f t="shared" si="16"/>
        <v/>
      </c>
      <c r="B269" t="str">
        <f t="shared" si="17"/>
        <v/>
      </c>
      <c r="C269" t="str">
        <f t="shared" si="18"/>
        <v/>
      </c>
      <c r="D269" t="str">
        <f t="shared" si="19"/>
        <v/>
      </c>
      <c r="E269" s="2" t="s">
        <v>544</v>
      </c>
      <c r="F269" s="3"/>
      <c r="G269" s="2" t="s">
        <v>545</v>
      </c>
    </row>
    <row r="270" spans="1:7" x14ac:dyDescent="0.25">
      <c r="A270" t="str">
        <f t="shared" si="16"/>
        <v/>
      </c>
      <c r="B270" t="str">
        <f t="shared" si="17"/>
        <v/>
      </c>
      <c r="C270" t="str">
        <f t="shared" si="18"/>
        <v/>
      </c>
      <c r="D270" t="str">
        <f t="shared" si="19"/>
        <v/>
      </c>
      <c r="E270" s="9" t="s">
        <v>546</v>
      </c>
      <c r="F270" s="10"/>
      <c r="G270" s="9" t="s">
        <v>547</v>
      </c>
    </row>
    <row r="271" spans="1:7" x14ac:dyDescent="0.25">
      <c r="A271" t="str">
        <f t="shared" si="16"/>
        <v>TAP</v>
      </c>
      <c r="B271" t="str">
        <f t="shared" si="17"/>
        <v xml:space="preserve"> F</v>
      </c>
      <c r="C271" t="str">
        <f t="shared" si="18"/>
        <v xml:space="preserve"> A</v>
      </c>
      <c r="D271" t="str">
        <f t="shared" si="19"/>
        <v xml:space="preserve"> </v>
      </c>
      <c r="E271" t="s">
        <v>445</v>
      </c>
      <c r="F271" s="4" t="s">
        <v>675</v>
      </c>
      <c r="G271" t="s">
        <v>446</v>
      </c>
    </row>
    <row r="272" spans="1:7" x14ac:dyDescent="0.25">
      <c r="A272" t="str">
        <f t="shared" si="16"/>
        <v>TAP</v>
      </c>
      <c r="B272" t="str">
        <f t="shared" si="17"/>
        <v xml:space="preserve"> F</v>
      </c>
      <c r="C272" t="str">
        <f t="shared" si="18"/>
        <v xml:space="preserve"> A</v>
      </c>
      <c r="D272" t="str">
        <f t="shared" si="19"/>
        <v xml:space="preserve"> </v>
      </c>
      <c r="E272" s="2" t="s">
        <v>447</v>
      </c>
      <c r="F272" s="4" t="s">
        <v>674</v>
      </c>
      <c r="G272" s="2" t="s">
        <v>448</v>
      </c>
    </row>
    <row r="273" spans="1:7" x14ac:dyDescent="0.25">
      <c r="A273" t="str">
        <f t="shared" si="16"/>
        <v>TAP</v>
      </c>
      <c r="B273" t="str">
        <f t="shared" si="17"/>
        <v xml:space="preserve"> F</v>
      </c>
      <c r="C273" t="str">
        <f t="shared" si="18"/>
        <v xml:space="preserve"> A</v>
      </c>
      <c r="D273" t="str">
        <f t="shared" si="19"/>
        <v xml:space="preserve"> </v>
      </c>
      <c r="E273" t="s">
        <v>449</v>
      </c>
      <c r="F273" s="4" t="s">
        <v>675</v>
      </c>
      <c r="G273" t="s">
        <v>450</v>
      </c>
    </row>
    <row r="274" spans="1:7" x14ac:dyDescent="0.25">
      <c r="A274" t="str">
        <f t="shared" si="16"/>
        <v>TAP</v>
      </c>
      <c r="B274" t="str">
        <f t="shared" si="17"/>
        <v xml:space="preserve"> F</v>
      </c>
      <c r="C274" t="str">
        <f t="shared" si="18"/>
        <v xml:space="preserve"> P</v>
      </c>
      <c r="D274" t="str">
        <f t="shared" si="19"/>
        <v xml:space="preserve"> </v>
      </c>
      <c r="E274" s="2" t="s">
        <v>455</v>
      </c>
      <c r="F274" s="4" t="s">
        <v>677</v>
      </c>
      <c r="G274" s="2" t="s">
        <v>456</v>
      </c>
    </row>
    <row r="275" spans="1:7" x14ac:dyDescent="0.25">
      <c r="A275" t="str">
        <f t="shared" si="16"/>
        <v>TAP</v>
      </c>
      <c r="B275" t="str">
        <f t="shared" si="17"/>
        <v xml:space="preserve"> F</v>
      </c>
      <c r="C275" t="str">
        <f t="shared" si="18"/>
        <v xml:space="preserve"> P</v>
      </c>
      <c r="D275" t="str">
        <f t="shared" si="19"/>
        <v xml:space="preserve"> </v>
      </c>
      <c r="E275" t="s">
        <v>451</v>
      </c>
      <c r="F275" s="4" t="s">
        <v>676</v>
      </c>
      <c r="G275" t="s">
        <v>452</v>
      </c>
    </row>
    <row r="276" spans="1:7" x14ac:dyDescent="0.25">
      <c r="A276" t="str">
        <f t="shared" si="16"/>
        <v>TAP</v>
      </c>
      <c r="B276" t="str">
        <f t="shared" si="17"/>
        <v xml:space="preserve"> F</v>
      </c>
      <c r="C276" t="str">
        <f t="shared" si="18"/>
        <v xml:space="preserve"> P</v>
      </c>
      <c r="D276" t="str">
        <f t="shared" si="19"/>
        <v xml:space="preserve"> </v>
      </c>
      <c r="E276" s="2" t="s">
        <v>457</v>
      </c>
      <c r="F276" s="3" t="s">
        <v>686</v>
      </c>
      <c r="G276" s="2" t="s">
        <v>454</v>
      </c>
    </row>
    <row r="277" spans="1:7" x14ac:dyDescent="0.25">
      <c r="A277" t="str">
        <f t="shared" si="16"/>
        <v/>
      </c>
      <c r="B277" t="str">
        <f t="shared" si="17"/>
        <v/>
      </c>
      <c r="C277" t="str">
        <f t="shared" si="18"/>
        <v/>
      </c>
      <c r="D277" t="str">
        <f t="shared" si="19"/>
        <v/>
      </c>
      <c r="E277" t="s">
        <v>453</v>
      </c>
      <c r="F277" s="3"/>
      <c r="G277" t="s">
        <v>454</v>
      </c>
    </row>
    <row r="278" spans="1:7" x14ac:dyDescent="0.25">
      <c r="A278" t="str">
        <f t="shared" si="16"/>
        <v>TAP</v>
      </c>
      <c r="B278" t="str">
        <f t="shared" si="17"/>
        <v xml:space="preserve"> F</v>
      </c>
      <c r="C278" t="str">
        <f t="shared" si="18"/>
        <v xml:space="preserve"> P</v>
      </c>
      <c r="D278" t="str">
        <f t="shared" si="19"/>
        <v xml:space="preserve"> </v>
      </c>
      <c r="E278" s="2" t="s">
        <v>458</v>
      </c>
      <c r="F278" s="3" t="s">
        <v>687</v>
      </c>
      <c r="G278" s="2" t="s">
        <v>459</v>
      </c>
    </row>
    <row r="279" spans="1:7" x14ac:dyDescent="0.25">
      <c r="A279" t="str">
        <f t="shared" si="16"/>
        <v>TAP</v>
      </c>
      <c r="B279" t="str">
        <f t="shared" si="17"/>
        <v xml:space="preserve"> F</v>
      </c>
      <c r="C279" t="str">
        <f t="shared" si="18"/>
        <v xml:space="preserve"> P</v>
      </c>
      <c r="D279" t="str">
        <f t="shared" si="19"/>
        <v xml:space="preserve"> </v>
      </c>
      <c r="E279" t="s">
        <v>460</v>
      </c>
      <c r="F279" s="3" t="s">
        <v>688</v>
      </c>
      <c r="G279" t="s">
        <v>461</v>
      </c>
    </row>
    <row r="280" spans="1:7" x14ac:dyDescent="0.25">
      <c r="A280" t="str">
        <f t="shared" si="16"/>
        <v>TAP</v>
      </c>
      <c r="B280" t="str">
        <f t="shared" si="17"/>
        <v xml:space="preserve"> F</v>
      </c>
      <c r="C280" t="str">
        <f t="shared" si="18"/>
        <v xml:space="preserve"> A</v>
      </c>
      <c r="D280" t="str">
        <f t="shared" si="19"/>
        <v xml:space="preserve"> </v>
      </c>
      <c r="E280" s="2" t="s">
        <v>462</v>
      </c>
      <c r="F280" s="4" t="s">
        <v>689</v>
      </c>
      <c r="G280" s="2" t="s">
        <v>463</v>
      </c>
    </row>
    <row r="281" spans="1:7" x14ac:dyDescent="0.25">
      <c r="A281" t="str">
        <f t="shared" si="16"/>
        <v>TAP</v>
      </c>
      <c r="B281" t="str">
        <f t="shared" si="17"/>
        <v xml:space="preserve"> F</v>
      </c>
      <c r="C281" t="str">
        <f t="shared" si="18"/>
        <v xml:space="preserve"> A</v>
      </c>
      <c r="D281" t="str">
        <f t="shared" si="19"/>
        <v xml:space="preserve"> </v>
      </c>
      <c r="E281" t="s">
        <v>464</v>
      </c>
      <c r="F281" s="4" t="s">
        <v>690</v>
      </c>
      <c r="G281" t="s">
        <v>465</v>
      </c>
    </row>
    <row r="282" spans="1:7" x14ac:dyDescent="0.25">
      <c r="A282" t="str">
        <f t="shared" si="16"/>
        <v>TAP</v>
      </c>
      <c r="B282" t="str">
        <f t="shared" si="17"/>
        <v xml:space="preserve"> F</v>
      </c>
      <c r="C282" t="str">
        <f t="shared" si="18"/>
        <v xml:space="preserve"> A</v>
      </c>
      <c r="D282" t="str">
        <f t="shared" si="19"/>
        <v xml:space="preserve"> </v>
      </c>
      <c r="E282" s="2" t="s">
        <v>466</v>
      </c>
      <c r="F282" s="4" t="s">
        <v>691</v>
      </c>
      <c r="G282" s="2" t="s">
        <v>467</v>
      </c>
    </row>
    <row r="283" spans="1:7" x14ac:dyDescent="0.25">
      <c r="A283" t="str">
        <f t="shared" si="16"/>
        <v>TAP</v>
      </c>
      <c r="B283" t="str">
        <f t="shared" si="17"/>
        <v xml:space="preserve"> F</v>
      </c>
      <c r="C283" t="str">
        <f t="shared" si="18"/>
        <v xml:space="preserve"> P</v>
      </c>
      <c r="D283" t="str">
        <f t="shared" si="19"/>
        <v xml:space="preserve"> </v>
      </c>
      <c r="E283" t="s">
        <v>468</v>
      </c>
      <c r="F283" s="4" t="s">
        <v>692</v>
      </c>
      <c r="G283" t="s">
        <v>469</v>
      </c>
    </row>
    <row r="284" spans="1:7" x14ac:dyDescent="0.25">
      <c r="A284" t="str">
        <f t="shared" si="16"/>
        <v>TAP</v>
      </c>
      <c r="B284" t="str">
        <f t="shared" si="17"/>
        <v xml:space="preserve"> F</v>
      </c>
      <c r="C284" t="str">
        <f t="shared" si="18"/>
        <v xml:space="preserve"> P</v>
      </c>
      <c r="D284" t="str">
        <f t="shared" si="19"/>
        <v xml:space="preserve"> </v>
      </c>
      <c r="E284" s="2" t="s">
        <v>470</v>
      </c>
      <c r="F284" s="4" t="s">
        <v>693</v>
      </c>
      <c r="G284" s="2" t="s">
        <v>471</v>
      </c>
    </row>
    <row r="285" spans="1:7" x14ac:dyDescent="0.25">
      <c r="A285" t="str">
        <f t="shared" si="16"/>
        <v>CLI</v>
      </c>
      <c r="B285" t="str">
        <f t="shared" si="17"/>
        <v xml:space="preserve"> A</v>
      </c>
      <c r="C285" t="str">
        <f t="shared" si="18"/>
        <v xml:space="preserve"> A</v>
      </c>
      <c r="D285" t="str">
        <f t="shared" si="19"/>
        <v>6</v>
      </c>
      <c r="E285" t="s">
        <v>0</v>
      </c>
      <c r="F285" s="4" t="s">
        <v>694</v>
      </c>
      <c r="G285" t="s">
        <v>1</v>
      </c>
    </row>
    <row r="286" spans="1:7" x14ac:dyDescent="0.25">
      <c r="A286" t="str">
        <f t="shared" si="16"/>
        <v>CLI</v>
      </c>
      <c r="B286" t="str">
        <f t="shared" si="17"/>
        <v xml:space="preserve"> A</v>
      </c>
      <c r="C286" t="str">
        <f t="shared" si="18"/>
        <v xml:space="preserve"> B</v>
      </c>
      <c r="D286" t="str">
        <f t="shared" si="19"/>
        <v>6</v>
      </c>
      <c r="E286" s="2" t="s">
        <v>2</v>
      </c>
      <c r="F286" s="4" t="s">
        <v>697</v>
      </c>
      <c r="G286" s="2" t="s">
        <v>3</v>
      </c>
    </row>
    <row r="287" spans="1:7" x14ac:dyDescent="0.25">
      <c r="A287" t="str">
        <f t="shared" si="16"/>
        <v>CLI</v>
      </c>
      <c r="B287" t="str">
        <f t="shared" si="17"/>
        <v xml:space="preserve"> A</v>
      </c>
      <c r="C287" t="str">
        <f t="shared" si="18"/>
        <v xml:space="preserve"> A</v>
      </c>
      <c r="D287" t="str">
        <f t="shared" si="19"/>
        <v>8</v>
      </c>
      <c r="E287" t="s">
        <v>4</v>
      </c>
      <c r="F287" s="4" t="s">
        <v>698</v>
      </c>
      <c r="G287" t="s">
        <v>5</v>
      </c>
    </row>
    <row r="288" spans="1:7" x14ac:dyDescent="0.25">
      <c r="A288" t="str">
        <f t="shared" si="16"/>
        <v>CLI</v>
      </c>
      <c r="B288" t="str">
        <f t="shared" si="17"/>
        <v xml:space="preserve"> A</v>
      </c>
      <c r="C288" t="str">
        <f t="shared" si="18"/>
        <v xml:space="preserve"> B</v>
      </c>
      <c r="D288" t="str">
        <f t="shared" si="19"/>
        <v>8</v>
      </c>
      <c r="E288" s="2" t="s">
        <v>6</v>
      </c>
      <c r="F288" s="4" t="s">
        <v>696</v>
      </c>
      <c r="G288" s="2" t="s">
        <v>7</v>
      </c>
    </row>
    <row r="289" spans="1:7" x14ac:dyDescent="0.25">
      <c r="A289" t="str">
        <f t="shared" si="16"/>
        <v>CLI</v>
      </c>
      <c r="B289" t="str">
        <f t="shared" si="17"/>
        <v xml:space="preserve"> P</v>
      </c>
      <c r="C289" t="str">
        <f t="shared" si="18"/>
        <v xml:space="preserve"> A</v>
      </c>
      <c r="D289" t="str">
        <f t="shared" si="19"/>
        <v>8</v>
      </c>
      <c r="E289" t="s">
        <v>8</v>
      </c>
      <c r="F289" s="4" t="s">
        <v>695</v>
      </c>
      <c r="G28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productos</vt:lpstr>
      <vt:lpstr>serie</vt:lpstr>
      <vt:lpstr>tipo</vt:lpstr>
      <vt:lpstr>material</vt:lpstr>
      <vt:lpstr>color</vt:lpstr>
      <vt:lpstr>productos (2)</vt:lpstr>
      <vt:lpstr>COLOR</vt:lpstr>
      <vt:lpstr>MATERIAL</vt:lpstr>
      <vt:lpstr>SERIE</vt:lpstr>
      <vt:lpstr>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Mejia</dc:creator>
  <cp:lastModifiedBy>JOSE MEJIA</cp:lastModifiedBy>
  <dcterms:created xsi:type="dcterms:W3CDTF">2025-03-08T07:56:16Z</dcterms:created>
  <dcterms:modified xsi:type="dcterms:W3CDTF">2025-07-09T18:52:59Z</dcterms:modified>
</cp:coreProperties>
</file>